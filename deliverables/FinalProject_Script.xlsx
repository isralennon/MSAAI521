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e00cfaf0f80ab21d/Documentos/GitHub/MSAAI531/MSAAI521/deliverables/"/>
    </mc:Choice>
  </mc:AlternateContent>
  <xr:revisionPtr revIDLastSave="173" documentId="8_{0B7E1449-FF0E-4D62-A6C9-02AF432541A0}" xr6:coauthVersionLast="47" xr6:coauthVersionMax="47" xr10:uidLastSave="{374F66E0-FC56-403F-A553-70D4D5726766}"/>
  <bookViews>
    <workbookView xWindow="-120" yWindow="-120" windowWidth="29040" windowHeight="15720" xr2:uid="{A340C242-620C-4844-A740-5AAB798F6EF1}"/>
  </bookViews>
  <sheets>
    <sheet name="Sheet1" sheetId="1" r:id="rId1"/>
    <sheet name="Sheet3" sheetId="3" r:id="rId2"/>
    <sheet name="Sheet2" sheetId="2"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F10" i="1" s="1"/>
  <c r="G10" i="1" s="1"/>
  <c r="E11" i="1"/>
  <c r="E12" i="1"/>
  <c r="E13" i="1"/>
  <c r="E14" i="1"/>
  <c r="E15" i="1"/>
  <c r="E16" i="1"/>
  <c r="E17" i="1"/>
  <c r="F17" i="1" s="1"/>
  <c r="G17" i="1" s="1"/>
  <c r="E18" i="1"/>
  <c r="E19" i="1"/>
  <c r="E20" i="1"/>
  <c r="F20" i="1" s="1"/>
  <c r="G20" i="1" s="1"/>
  <c r="E21" i="1"/>
  <c r="E22" i="1"/>
  <c r="F22" i="1" s="1"/>
  <c r="G22" i="1" s="1"/>
  <c r="E23" i="1"/>
  <c r="F23" i="1" s="1"/>
  <c r="G23" i="1" s="1"/>
  <c r="E24" i="1"/>
  <c r="F24" i="1" s="1"/>
  <c r="G24" i="1" s="1"/>
  <c r="E25" i="1"/>
  <c r="E26" i="1"/>
  <c r="F26" i="1" s="1"/>
  <c r="G26" i="1" s="1"/>
  <c r="E27" i="1"/>
  <c r="E28" i="1"/>
  <c r="F28" i="1" s="1"/>
  <c r="G28" i="1" s="1"/>
  <c r="E29" i="1"/>
  <c r="F29" i="1" s="1"/>
  <c r="G29" i="1" s="1"/>
  <c r="E30" i="1"/>
  <c r="F30" i="1" s="1"/>
  <c r="E31" i="1"/>
  <c r="E32" i="1"/>
  <c r="E33" i="1"/>
  <c r="E34" i="1"/>
  <c r="E35" i="1"/>
  <c r="F9" i="1"/>
  <c r="G9" i="1" s="1"/>
  <c r="F19" i="1"/>
  <c r="G19" i="1" s="1"/>
  <c r="F31" i="1"/>
  <c r="G31" i="1" s="1"/>
  <c r="G3" i="1"/>
  <c r="H3" i="1" s="1"/>
  <c r="G5" i="1"/>
  <c r="G7" i="1"/>
  <c r="G11" i="1"/>
  <c r="G15" i="1"/>
  <c r="G16" i="1"/>
  <c r="G18" i="1"/>
  <c r="G21" i="1"/>
  <c r="G25" i="1"/>
  <c r="G30" i="1"/>
  <c r="G32" i="1"/>
  <c r="G33" i="1"/>
  <c r="G34" i="1"/>
  <c r="G35" i="1"/>
  <c r="F35" i="1"/>
  <c r="F34" i="1"/>
  <c r="F33" i="1"/>
  <c r="F32" i="1"/>
  <c r="A6" i="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5" i="1"/>
  <c r="A4" i="1"/>
  <c r="N13" i="1"/>
  <c r="N14" i="1" s="1"/>
  <c r="N12" i="1"/>
  <c r="P2" i="1"/>
  <c r="R2" i="1" s="1"/>
  <c r="F27" i="1"/>
  <c r="G27" i="1" s="1"/>
  <c r="F7" i="1"/>
  <c r="F5" i="1"/>
  <c r="F3" i="1"/>
  <c r="F25" i="1"/>
  <c r="F21" i="1"/>
  <c r="F18" i="1"/>
  <c r="F16" i="1"/>
  <c r="F15" i="1"/>
  <c r="F14" i="1"/>
  <c r="G14" i="1" s="1"/>
  <c r="F13" i="1"/>
  <c r="G13" i="1" s="1"/>
  <c r="F12" i="1"/>
  <c r="G12" i="1" s="1"/>
  <c r="F11" i="1"/>
  <c r="F8" i="1"/>
  <c r="G8" i="1" s="1"/>
  <c r="F6" i="1"/>
  <c r="G6" i="1" s="1"/>
  <c r="F4" i="1"/>
  <c r="G4" i="1" s="1"/>
  <c r="M1" i="1" l="1"/>
  <c r="H4" i="1"/>
  <c r="H5" i="1" s="1"/>
  <c r="H6" i="1" s="1"/>
  <c r="H7" i="1" s="1"/>
  <c r="H8" i="1" s="1"/>
  <c r="H9" i="1" s="1"/>
  <c r="H10" i="1" s="1"/>
  <c r="H11" i="1" s="1"/>
  <c r="H12" i="1" s="1"/>
  <c r="H13" i="1" s="1"/>
  <c r="H14" i="1" s="1"/>
  <c r="H15" i="1" s="1"/>
  <c r="H16" i="1" s="1"/>
  <c r="H17" i="1" s="1"/>
  <c r="O8" i="1"/>
  <c r="O7" i="1"/>
  <c r="H18" i="1" l="1"/>
  <c r="H19" i="1" s="1"/>
  <c r="H20" i="1" s="1"/>
  <c r="H21" i="1" s="1"/>
  <c r="H22" i="1" s="1"/>
  <c r="H23" i="1" s="1"/>
  <c r="H24" i="1" s="1"/>
  <c r="H25" i="1" s="1"/>
  <c r="H26" i="1" s="1"/>
  <c r="H27" i="1" s="1"/>
  <c r="H28" i="1" s="1"/>
  <c r="H29" i="1" s="1"/>
  <c r="O9" i="1"/>
  <c r="I4" i="1"/>
  <c r="J4" i="1" s="1"/>
  <c r="I3" i="1"/>
  <c r="J3" i="1" s="1"/>
  <c r="I29" i="1" l="1"/>
  <c r="J29" i="1" s="1"/>
  <c r="H30" i="1"/>
  <c r="I5" i="1"/>
  <c r="J5" i="1" s="1"/>
  <c r="I30" i="1" l="1"/>
  <c r="J30" i="1" s="1"/>
  <c r="H31" i="1"/>
  <c r="I6" i="1"/>
  <c r="J6" i="1" s="1"/>
  <c r="I31" i="1" l="1"/>
  <c r="J31" i="1" s="1"/>
  <c r="H32" i="1"/>
  <c r="I7" i="1"/>
  <c r="J7" i="1" s="1"/>
  <c r="I32" i="1" l="1"/>
  <c r="J32" i="1" s="1"/>
  <c r="H33" i="1"/>
  <c r="I8" i="1"/>
  <c r="J8" i="1" s="1"/>
  <c r="I33" i="1" l="1"/>
  <c r="J33" i="1" s="1"/>
  <c r="H34" i="1"/>
  <c r="I9" i="1"/>
  <c r="J9" i="1" s="1"/>
  <c r="H35" i="1" l="1"/>
  <c r="I34" i="1"/>
  <c r="J34" i="1" s="1"/>
  <c r="I10" i="1"/>
  <c r="J10" i="1" s="1"/>
  <c r="I35" i="1" l="1"/>
  <c r="J35" i="1" s="1"/>
  <c r="I11" i="1"/>
  <c r="J11" i="1" s="1"/>
  <c r="I12" i="1" l="1"/>
  <c r="J12" i="1" s="1"/>
  <c r="I13" i="1" l="1"/>
  <c r="J13" i="1" s="1"/>
  <c r="I14" i="1" l="1"/>
  <c r="J14" i="1" s="1"/>
  <c r="I15" i="1" l="1"/>
  <c r="J15" i="1" s="1"/>
  <c r="I16" i="1" l="1"/>
  <c r="J16" i="1" s="1"/>
  <c r="I17" i="1" l="1"/>
  <c r="J17" i="1" s="1"/>
  <c r="I18" i="1" l="1"/>
  <c r="J18" i="1" s="1"/>
  <c r="I19" i="1" l="1"/>
  <c r="J19" i="1" s="1"/>
  <c r="I20" i="1" l="1"/>
  <c r="J20" i="1" s="1"/>
  <c r="I21" i="1" l="1"/>
  <c r="J21" i="1" s="1"/>
  <c r="I22" i="1" l="1"/>
  <c r="J22" i="1" s="1"/>
  <c r="I23" i="1" l="1"/>
  <c r="J23" i="1" s="1"/>
  <c r="I24" i="1" l="1"/>
  <c r="J24" i="1" s="1"/>
  <c r="I25" i="1" l="1"/>
  <c r="J25" i="1" s="1"/>
  <c r="I26" i="1" l="1"/>
  <c r="J26" i="1" s="1"/>
  <c r="I27" i="1" l="1"/>
  <c r="J27" i="1" s="1"/>
  <c r="I28" i="1" l="1"/>
  <c r="J28" i="1" s="1"/>
  <c r="E1" i="1" l="1"/>
  <c r="P1" i="1" l="1"/>
  <c r="R1" i="1" s="1"/>
  <c r="G1" i="1"/>
  <c r="I1" i="1"/>
</calcChain>
</file>

<file path=xl/sharedStrings.xml><?xml version="1.0" encoding="utf-8"?>
<sst xmlns="http://schemas.openxmlformats.org/spreadsheetml/2006/main" count="138" uniqueCount="91">
  <si>
    <t>Person</t>
  </si>
  <si>
    <t>Script</t>
  </si>
  <si>
    <t>TITLE CARD: USD - MS AAI</t>
  </si>
  <si>
    <t>Israel</t>
  </si>
  <si>
    <t>Total Duration</t>
  </si>
  <si>
    <t>Min</t>
  </si>
  <si>
    <t>Sec</t>
  </si>
  <si>
    <t>Cumul.</t>
  </si>
  <si>
    <t>Model</t>
  </si>
  <si>
    <t>Train</t>
  </si>
  <si>
    <t>Test</t>
  </si>
  <si>
    <t>Validation</t>
  </si>
  <si>
    <t>MSE</t>
  </si>
  <si>
    <t>MAE</t>
  </si>
  <si>
    <t>R2</t>
  </si>
  <si>
    <t>LinearRegression</t>
  </si>
  <si>
    <t>OLS</t>
  </si>
  <si>
    <t>DecisionTreeRegressor</t>
  </si>
  <si>
    <t>RandomForestRegressor</t>
  </si>
  <si>
    <t>GradientBoostingRegressor</t>
  </si>
  <si>
    <t>AdaBoostRegressor</t>
  </si>
  <si>
    <t>BaggingRegressor</t>
  </si>
  <si>
    <t>SVR</t>
  </si>
  <si>
    <t>MLPRegressor</t>
  </si>
  <si>
    <t>Models</t>
  </si>
  <si>
    <t>Linear Regression</t>
  </si>
  <si>
    <t>Decision Tree Regressor</t>
  </si>
  <si>
    <t>Random Forest Regressor</t>
  </si>
  <si>
    <t>Gradient Boosting Regressor</t>
  </si>
  <si>
    <t>Ada Boost Regressor</t>
  </si>
  <si>
    <r>
      <t>R</t>
    </r>
    <r>
      <rPr>
        <vertAlign val="superscript"/>
        <sz val="11"/>
        <color theme="0"/>
        <rFont val="Calibri"/>
        <family val="2"/>
      </rPr>
      <t>2</t>
    </r>
  </si>
  <si>
    <t>Word Count</t>
  </si>
  <si>
    <t>Avg Word Duration</t>
  </si>
  <si>
    <t>Calc Duration</t>
  </si>
  <si>
    <t>Manual Duration</t>
  </si>
  <si>
    <t>Considered Duration</t>
  </si>
  <si>
    <t>Target</t>
  </si>
  <si>
    <t>Credits</t>
  </si>
  <si>
    <t>Num</t>
  </si>
  <si>
    <t>Validation Accuracy</t>
  </si>
  <si>
    <t>Validation F1-Score</t>
  </si>
  <si>
    <t>Gradient Boosting Classifier</t>
  </si>
  <si>
    <t>Random Forest</t>
  </si>
  <si>
    <t>Bagging Classifier</t>
  </si>
  <si>
    <t>Decision Tree Classifier</t>
  </si>
  <si>
    <t>MLP Classifier</t>
  </si>
  <si>
    <t>SVC</t>
  </si>
  <si>
    <t>Logistic Regression</t>
  </si>
  <si>
    <t>AdaBoost Classifier</t>
  </si>
  <si>
    <t>CANDIDATE MODELS</t>
  </si>
  <si>
    <t>Logistic Regression, Random Forest Classifier, Decision Tree Classifier, Gradient Boosting Classifier, AdaBoost Classifier, Baggin Classifier, SVC, and MLP Classifier. At this point, we passed ALL variables into all these models, and we compared the results of the Training and Validation sets. To evaluate their performance, we used 2 metrics: the Accuracy Score, which describes how well a model compares to the true classification, and the F1 score which also penalizes false positive and false negative errors, especially helpful with sensitive medical results.</t>
  </si>
  <si>
    <t>ValidationAccuracy</t>
  </si>
  <si>
    <t>TestAccuracy</t>
  </si>
  <si>
    <t>'Height','Weight','FAVC','CH2O','TUE'</t>
  </si>
  <si>
    <t>'Gender','Height','Weight'</t>
  </si>
  <si>
    <t>'Height','Weight'</t>
  </si>
  <si>
    <t>Label</t>
  </si>
  <si>
    <t>Combination 1</t>
  </si>
  <si>
    <t>Combination 2</t>
  </si>
  <si>
    <t>Combination 3</t>
  </si>
  <si>
    <t>Features</t>
  </si>
  <si>
    <t>Accuracy Score
(Validation Set)</t>
  </si>
  <si>
    <t>Santosh</t>
  </si>
  <si>
    <t>Max</t>
  </si>
  <si>
    <t>TITLE CARD: AAI-521- Applied Computer Vision for AI</t>
  </si>
  <si>
    <t>TITLE CARD: Professor Roozbeh Sadeghian, Ph.D</t>
  </si>
  <si>
    <t>TITLE CARD: Real-Time Object Detection System Using LiDAR</t>
  </si>
  <si>
    <t>TITLE CARD: TEAM 2 PRESENTS.</t>
  </si>
  <si>
    <t>However, processing 3D point clouds for object detection traditionally requires specialized architectures like PointPillars or CenterPoint, which are computationally expensive and complex to train. This presents a challenge especially when trying to build a portable system for a self-driving vehicle.</t>
  </si>
  <si>
    <t>Current LiDAR detection systems, like PointPillars or CenterPoint, process the LiDAR information in 3D, which results in a very high accuracy but also requires a significant amount of processing, raising the cost of self-driving vehicles.</t>
  </si>
  <si>
    <t>Other self-driving systems use camera information, which comes with the obvious challenges of poor visibility conditions, but also other more subtle challenges like perspective: as objects get further away, their size appears smaller in the lens of the camera. Scale then becomes a factor in object detection that can affect the predicted outcome.
LiDAR performs particularly well in poor visibility conditions, and due to its radar-like response operation, objects sizes don't get distorted with the distance, which reduces the complexity in training and real-time processing.</t>
  </si>
  <si>
    <t>TITLE CARD: Data Exploration</t>
  </si>
  <si>
    <t>I'm Santosh Kumar, and I'm convinced that these computer vision challenges can be solved for autonomous driving, bringing the costs significantly down and facilitating a worldwide adoption much faster.</t>
  </si>
  <si>
    <t>In 1981 there was a famous TV show about a self-driving car with artificial intelligence, capable of talking, among other futuristic features that didn't exist at the time, like video calls or wireless access to databases - all before the Internet was even a thing. It was science fiction at the time and nothing more, and it seemed unreachable until a very distant future.
But today we're living in that remote future, and many of those features that captured our imagination are now a tangible reality, like the devices that can talk back to you, 24/7 wireless online connectivity, video calls, and of course: self-driving cars.</t>
  </si>
  <si>
    <t>While only a handful of brands have offered fully autonomous vehicles out to the public, it's no longer fiction, and in many cities around the world, like San Francisco, anyone can ride on a self-driving car today. It's just a matter of time before the technology gets fully adopted. But before that happens, there are still many challenges to solve, from safety regulations to cost and technical limitations. In this video, we'll focus only on one of those technical limitations.</t>
  </si>
  <si>
    <t xml:space="preserve">Autonomous vehicles require real-time environment perception to detect and track surrounding objects accurately. The perception system must function reliably across varying lighting conditions, weather, and complex urban environments. Camera-based detectors are the most commonly used technology, but while they are computationally efficient, they face limitations in poor lighting conditions and lack direct depth information. </t>
  </si>
  <si>
    <t>LiDAR sensors overcome these limitations by providing accurate 3D measurements regardless of lighting conditions, as they work by sending short laser pulses of near-infrared light that can easily penetrate fog, snow, or rain, while being invisible to the human eye. After emitting the pulses, the LiDAR measures the time it takes for the light pulses to bounce back in surrounding structures, then it uses the speed of light to calculate the distance between the vehicle and those surrounding objects. We call these data measurements "point clouds".</t>
  </si>
  <si>
    <t>I'm Israel Romero, and I can visualize a near future where most vehicles are self-driving, reducing accidents, making DUIs a thing of the past, and potentially even elliminating traffic jams.</t>
  </si>
  <si>
    <t>And I'm Maxime Boulat. Together we'll show you how converting 3D Lidar information into 2D Bird's-Eye View images can help detect vehicles, pedestrians, and cyclists with high accuracy by using an already proven and computationally lighter methodology.</t>
  </si>
  <si>
    <t>We utilize the nuScenes dataset, a large-scale autonomous driving dataset collected by Motional and nuTonomy. This dataset was acquired with real driving, collected in Boston and Singapore under diverse driving conditions and over one thousand carefully planned driving scenes of about twenty seconds each. 
The dataset provides multi-sensor data including LiDAR, RADAR, cameras, GPS, and IMU, all these mounted in the driving vehicles, allowing the capture of cars, trucks, pedestrians, cyclists, and other nearby objects (stating and in-motion) from the perspectives of all the available instruments
In this project we will use only on the LiDAR portion of the dataset for training the YOLO model, but we will use the rest of the data to perform validations.</t>
  </si>
  <si>
    <t>NuScenes provides a small version of the dataset, called "nuScenes-panoptic-mini" that contains only 10 scenes, which we used to setup our algorithms. Later on, we downloaded and used the full set for training and testing our methodology.
We found that each 20-second scene is composed of 404 samples, each one being a snapshot from all sensors captured at 2 Hz, so 2 snapshots of each of the 6 sensors every second. Later on, the team manually entered annotations for the objects on each scene.
Annotations contain a 3D bounding box describing the class of each object (pedestrian, cyclist, truck, car...), as well as other physical position features like translation, size, and rotation. These annotations will be helpful to confirm if the predictions from the model are correct.</t>
  </si>
  <si>
    <t>TITLE CARD: Data Preprocessing</t>
  </si>
  <si>
    <t xml:space="preserve">The vehicle carrying the sensors is called the "ego" vehicle, to distinguish it from all other vehicles on the scene as the "self" vehicle.
Our goal is to predict the annotated classes and their locations in each frame, which would allow the self-driving ego vehicle to make real-time decisions. For those predictions, we have selected the YOLO model, which stands for "You Only Look Once", and is a proven algorithm that extracts features out of a two-dimensional image in a very short amount of time.
So, our next step is to convert the LiDAR three-dimensional information into two-dimensional images that the YOLO model can use. This is a critical step before any predictions can be made.
Lidar range can reach long distances, so we've decided to limit the processing to data within a range of 100 meters around the vehicle (about 328ft). This filtering reduces computational load by 50-70% while retaining all relevant objects for autonomous driving perception. </t>
  </si>
  <si>
    <t xml:space="preserve">The core innovation of our approach is converting 3D point clouds into 2D BEV images that encode spatial information in multiple channels. The colors on the images won't technically represent real colors, but rather each RGB channel represents dimensions to be used by the YOLO model: height of the cloud point, intensity, and density.
For each frame in a scene, we created a standard PNG image of 1000 by 1000 pixels (although later we adjusted the resolution to 1280 by 1280 and had a significantly better performance). </t>
  </si>
  <si>
    <t>TITLE CARD: The Model</t>
  </si>
  <si>
    <t>Additionally, nuScenes has annotations of of 23 categories, that's 23 different types of objects. We decided to simplify it and consolidate only into these 4 classes:
- Class 0: Cars (standard household cars, taxi cabs, etc)
- Class 1: Trucks/Buses (large vehicles like fire trucks, buses, construction vehicles)
- Class 2: Pedestrians (people walking)
- Class 3: Cyclists (bicycles, motorcycles, and other similar smaller vehicles)
This reduces class imbalance and focuses on key autonomous driving objects, simplifying the processing for the model.</t>
  </si>
  <si>
    <t>We decided to use YOLO version 12s, a small variants of the current YOLO 12 version, as the base for our prediction. This version has over 9 million parameters, which is trainable on a relatively small computer. 
We are also using a pre-trained COCO weights, which provide a strong low-level feature extraction (like edges, textures, and shapes). Since the COCO weighs were trained on regular RGB images, we'll have to re-train it and adjust it to our LiDAR-based images with a two-stage training approach.</t>
  </si>
  <si>
    <t>TITLE CARD: The Results</t>
  </si>
  <si>
    <t>Let's define first the metrics we'll use to measure the performance.
Precision represents how many of the predictions were actually correct; for example, if from the 10 predicted pedestrians, 8 are actually pedestrians, the precision would be 80%.
Recall measures from the total possible predictions, how many were successfully identified by the model; for instance, if out of the 12 real pedestrians the model identified 8, the recall would be 66%.
Next, comes the Mean Average Precision (mAP) is very specific for box predictions. We want to measure how much our predicted box with the location and measurement of the object aligns with the annotated box. We have the mAP in 2 versions: mAP50, which measures how many of the boxes overlap with their annotations by at least 50%, while mAP50-95 measures how many boxes almost perfectly match the annotations (up to 95% overlap).</t>
  </si>
  <si>
    <t xml:space="preserve">
On the first stage, which we called "The Warmup", the model trained for 50 epochs, and prepared the initial COCO weights for the long second phase: "The Fine Tunning", in which the weights get readjusted for 150 epochs.
We experimented several times on different computer environments with GPUs. One of our biggest challenges was running time -  even if we were using GPUs, the full training took over one hour, and for our last run in which we increased the resolution of the images from the initial 1000 by 1000 up to 1280 by 1280. The final results were astounding.</t>
  </si>
  <si>
    <t>Overall, the precision of the training set was 66%, with a recall of only 41%. Then we tested the model with previously unseen data, and got it to perform at 81% precision and 39% recall.
When it comes to mAP50, the testing set got to 45% while the much stricter mAP50-95 got to 26%, while the validation set achieved 62% and 38%, respectively. 
It's very important to measure the performance from the perspective of each of the 4 classes to identify if there are any objects harder to detect by the model.
We found that Cars and Trucks have the best performance with a precision of 86% and 77%, respectively, while smaller objects like Pedestrians and Cyclists got a precision of 71% and 88%. However, Cyclists are showing the lowest recall of only 10%, meaning that 90% of the cyclists were not predicted by the model. This is still an area of opportunity of our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</si>
</sst>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Aptos Narrow"/>
      <family val="2"/>
      <scheme val="minor"/>
    </font>
    <font>
      <sz val="12"/>
      <color theme="1"/>
      <name val="Aptos"/>
      <family val="2"/>
    </font>
    <font>
      <b/>
      <sz val="12"/>
      <color theme="1"/>
      <name val="Aptos"/>
      <family val="2"/>
    </font>
    <font>
      <b/>
      <sz val="11"/>
      <color theme="1"/>
      <name val="Segoe UI"/>
      <family val="2"/>
    </font>
    <font>
      <sz val="11"/>
      <color theme="1"/>
      <name val="Segoe UI"/>
      <family val="2"/>
    </font>
    <font>
      <sz val="11"/>
      <color rgb="FFFF0000"/>
      <name val="Aptos Narrow"/>
      <family val="2"/>
      <scheme val="minor"/>
    </font>
    <font>
      <b/>
      <sz val="8"/>
      <color theme="1"/>
      <name val="Calibri"/>
      <family val="2"/>
    </font>
    <font>
      <sz val="8"/>
      <color theme="1"/>
      <name val="Calibri"/>
      <family val="2"/>
    </font>
    <font>
      <b/>
      <sz val="11"/>
      <color theme="0"/>
      <name val="Calibri"/>
      <family val="2"/>
    </font>
    <font>
      <sz val="11"/>
      <color theme="0"/>
      <name val="Calibri"/>
      <family val="2"/>
    </font>
    <font>
      <vertAlign val="superscript"/>
      <sz val="11"/>
      <color theme="0"/>
      <name val="Calibri"/>
      <family val="2"/>
    </font>
    <font>
      <sz val="12"/>
      <color rgb="FF000000"/>
      <name val="Aptos"/>
      <family val="2"/>
    </font>
    <font>
      <sz val="11"/>
      <color theme="1"/>
      <name val="Aptos Narrow"/>
      <family val="2"/>
      <scheme val="minor"/>
    </font>
    <font>
      <b/>
      <sz val="11"/>
      <color theme="1"/>
      <name val="Aptos Narrow"/>
      <family val="2"/>
      <scheme val="minor"/>
    </font>
    <font>
      <b/>
      <sz val="10"/>
      <color theme="1"/>
      <name val="Aptos"/>
      <family val="2"/>
    </font>
  </fonts>
  <fills count="9">
    <fill>
      <patternFill patternType="none"/>
    </fill>
    <fill>
      <patternFill patternType="gray125"/>
    </fill>
    <fill>
      <patternFill patternType="solid">
        <fgColor rgb="FF00B050"/>
        <bgColor indexed="64"/>
      </patternFill>
    </fill>
    <fill>
      <patternFill patternType="solid">
        <fgColor rgb="FFFFC000"/>
        <bgColor indexed="64"/>
      </patternFill>
    </fill>
    <fill>
      <patternFill patternType="solid">
        <fgColor rgb="FF0070C0"/>
        <bgColor indexed="64"/>
      </patternFill>
    </fill>
    <fill>
      <patternFill patternType="solid">
        <fgColor rgb="FFFFFFF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FFFF00"/>
        <bgColor indexed="64"/>
      </patternFill>
    </fill>
  </fills>
  <borders count="16">
    <border>
      <left/>
      <right/>
      <top/>
      <bottom/>
      <diagonal/>
    </border>
    <border>
      <left/>
      <right style="medium">
        <color rgb="FF000000"/>
      </right>
      <top/>
      <bottom/>
      <diagonal/>
    </border>
    <border>
      <left style="thin">
        <color indexed="64"/>
      </left>
      <right style="thin">
        <color indexed="64"/>
      </right>
      <top style="thin">
        <color indexed="64"/>
      </top>
      <bottom style="thin">
        <color indexed="64"/>
      </bottom>
      <diagonal/>
    </border>
    <border>
      <left style="medium">
        <color indexed="64"/>
      </left>
      <right style="medium">
        <color rgb="FF000000"/>
      </right>
      <top style="medium">
        <color indexed="64"/>
      </top>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medium">
        <color rgb="FF000000"/>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9" fontId="12" fillId="0" borderId="0" applyFont="0" applyFill="0" applyBorder="0" applyAlignment="0" applyProtection="0"/>
  </cellStyleXfs>
  <cellXfs count="44">
    <xf numFmtId="0" fontId="0" fillId="0" borderId="0" xfId="0"/>
    <xf numFmtId="0" fontId="3" fillId="5" borderId="0" xfId="0" applyFont="1" applyFill="1" applyAlignment="1">
      <alignment vertical="center" wrapText="1"/>
    </xf>
    <xf numFmtId="0" fontId="4" fillId="5" borderId="0" xfId="0" applyFont="1" applyFill="1" applyAlignment="1">
      <alignment vertical="center" wrapText="1"/>
    </xf>
    <xf numFmtId="0" fontId="9" fillId="6" borderId="1" xfId="0" applyFont="1" applyFill="1" applyBorder="1" applyAlignment="1">
      <alignment horizontal="center" vertical="center" wrapText="1"/>
    </xf>
    <xf numFmtId="0" fontId="7" fillId="0" borderId="2" xfId="0" applyFont="1" applyBorder="1" applyAlignment="1">
      <alignment horizontal="left" vertical="center" wrapText="1" indent="1"/>
    </xf>
    <xf numFmtId="0" fontId="6" fillId="0" borderId="2" xfId="0" applyFont="1" applyBorder="1" applyAlignment="1">
      <alignment horizontal="left" vertical="center" wrapText="1" indent="1"/>
    </xf>
    <xf numFmtId="0" fontId="9" fillId="6" borderId="9" xfId="0" applyFont="1" applyFill="1" applyBorder="1" applyAlignment="1">
      <alignment horizontal="center" vertical="center" wrapText="1"/>
    </xf>
    <xf numFmtId="0" fontId="6" fillId="7" borderId="10" xfId="0" applyFont="1" applyFill="1" applyBorder="1" applyAlignment="1">
      <alignment vertical="center" wrapText="1"/>
    </xf>
    <xf numFmtId="0" fontId="7" fillId="0" borderId="11" xfId="0" applyFont="1" applyBorder="1" applyAlignment="1">
      <alignment horizontal="left" vertical="center" wrapText="1" indent="1"/>
    </xf>
    <xf numFmtId="0" fontId="7" fillId="7" borderId="10" xfId="0" applyFont="1" applyFill="1" applyBorder="1" applyAlignment="1">
      <alignment horizontal="left" vertical="center" wrapText="1" indent="1"/>
    </xf>
    <xf numFmtId="0" fontId="6" fillId="7" borderId="10" xfId="0" applyFont="1" applyFill="1" applyBorder="1" applyAlignment="1">
      <alignment horizontal="left" vertical="center" wrapText="1" indent="1"/>
    </xf>
    <xf numFmtId="0" fontId="6" fillId="0" borderId="11" xfId="0" applyFont="1" applyBorder="1" applyAlignment="1">
      <alignment horizontal="left" vertical="center" wrapText="1" indent="1"/>
    </xf>
    <xf numFmtId="0" fontId="7" fillId="7" borderId="12" xfId="0" applyFont="1" applyFill="1" applyBorder="1" applyAlignment="1">
      <alignment horizontal="left" vertical="center" wrapText="1" indent="1"/>
    </xf>
    <xf numFmtId="0" fontId="7" fillId="0" borderId="13" xfId="0" applyFont="1" applyBorder="1" applyAlignment="1">
      <alignment horizontal="left" vertical="center" wrapText="1" indent="1"/>
    </xf>
    <xf numFmtId="0" fontId="7" fillId="0" borderId="14" xfId="0" applyFont="1" applyBorder="1" applyAlignment="1">
      <alignment horizontal="left" vertical="center" wrapText="1" indent="1"/>
    </xf>
    <xf numFmtId="0" fontId="2" fillId="0" borderId="0" xfId="0" applyFont="1" applyAlignment="1">
      <alignment vertical="center" wrapText="1"/>
    </xf>
    <xf numFmtId="0" fontId="11" fillId="0" borderId="0" xfId="0" applyFont="1" applyAlignment="1">
      <alignment horizontal="center" vertical="center" wrapText="1"/>
    </xf>
    <xf numFmtId="0" fontId="1" fillId="0" borderId="0" xfId="0" applyFont="1" applyAlignment="1">
      <alignment vertical="center" wrapText="1"/>
    </xf>
    <xf numFmtId="0" fontId="11" fillId="2" borderId="0" xfId="0" applyFont="1" applyFill="1" applyAlignment="1">
      <alignment vertical="center" wrapText="1"/>
    </xf>
    <xf numFmtId="0" fontId="11" fillId="3" borderId="0" xfId="0" applyFont="1" applyFill="1" applyAlignment="1">
      <alignment vertical="center" wrapText="1"/>
    </xf>
    <xf numFmtId="0" fontId="11" fillId="4" borderId="0" xfId="0" applyFont="1" applyFill="1" applyAlignment="1">
      <alignment vertical="center" wrapText="1"/>
    </xf>
    <xf numFmtId="0" fontId="5" fillId="0" borderId="0" xfId="0" applyFont="1"/>
    <xf numFmtId="0" fontId="11" fillId="2" borderId="15" xfId="0" applyFont="1" applyFill="1" applyBorder="1" applyAlignment="1">
      <alignment vertical="center" wrapText="1"/>
    </xf>
    <xf numFmtId="0" fontId="11" fillId="3" borderId="15" xfId="0" applyFont="1" applyFill="1" applyBorder="1" applyAlignment="1">
      <alignment vertical="center" wrapText="1"/>
    </xf>
    <xf numFmtId="0" fontId="11" fillId="4" borderId="15" xfId="0" applyFont="1" applyFill="1" applyBorder="1" applyAlignment="1">
      <alignment vertical="center" wrapText="1"/>
    </xf>
    <xf numFmtId="0" fontId="0" fillId="0" borderId="0" xfId="0" applyAlignment="1">
      <alignment wrapText="1"/>
    </xf>
    <xf numFmtId="0" fontId="14" fillId="0" borderId="0" xfId="0" applyFont="1" applyAlignment="1">
      <alignment vertical="center" wrapText="1"/>
    </xf>
    <xf numFmtId="164" fontId="0" fillId="0" borderId="0" xfId="1" applyNumberFormat="1" applyFont="1" applyAlignment="1">
      <alignment vertical="center"/>
    </xf>
    <xf numFmtId="0" fontId="0" fillId="8" borderId="0" xfId="0" applyFill="1" applyAlignment="1">
      <alignment vertical="center"/>
    </xf>
    <xf numFmtId="0" fontId="13" fillId="0" borderId="0" xfId="0" applyFont="1" applyAlignment="1">
      <alignment vertical="center"/>
    </xf>
    <xf numFmtId="0" fontId="0" fillId="0" borderId="0" xfId="0" applyAlignment="1">
      <alignment vertical="center"/>
    </xf>
    <xf numFmtId="0" fontId="1" fillId="0" borderId="0" xfId="0" applyFont="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xf>
    <xf numFmtId="0" fontId="3" fillId="5" borderId="0" xfId="0" applyFont="1" applyFill="1" applyAlignment="1">
      <alignment horizontal="right" vertical="center" wrapText="1"/>
    </xf>
    <xf numFmtId="0" fontId="4" fillId="5" borderId="0" xfId="0" applyFont="1" applyFill="1" applyAlignment="1">
      <alignment horizontal="right" vertical="center" wrapText="1"/>
    </xf>
    <xf numFmtId="9" fontId="0" fillId="0" borderId="0" xfId="1" applyFont="1"/>
    <xf numFmtId="0" fontId="8" fillId="6" borderId="3"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3" fillId="5" borderId="0" xfId="0" applyFont="1" applyFill="1" applyAlignment="1">
      <alignment vertical="center" wrapText="1"/>
    </xf>
  </cellXfs>
  <cellStyles count="2">
    <cellStyle name="Normal" xfId="0" builtinId="0"/>
    <cellStyle name="Percent" xfId="1" builtinId="5"/>
  </cellStyles>
  <dxfs count="8">
    <dxf>
      <font>
        <b val="0"/>
        <i val="0"/>
        <strike val="0"/>
        <condense val="0"/>
        <extend val="0"/>
        <outline val="0"/>
        <shadow val="0"/>
        <u val="none"/>
        <vertAlign val="baseline"/>
        <sz val="12"/>
        <color theme="1"/>
        <name val="Aptos"/>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Aptos"/>
        <family val="2"/>
        <scheme val="none"/>
      </font>
      <numFmt numFmtId="0" formatCode="General"/>
      <fill>
        <patternFill patternType="none">
          <fgColor indexed="64"/>
          <bgColor indexed="65"/>
        </patternFill>
      </fill>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2"/>
        <color theme="1"/>
        <name val="Aptos"/>
        <family val="2"/>
        <scheme val="none"/>
      </font>
      <fill>
        <patternFill patternType="none">
          <fgColor indexed="64"/>
          <bgColor indexed="65"/>
        </patternFill>
      </fill>
      <alignment horizontal="center" vertical="center" textRotation="0" wrapText="1" indent="0" justifyLastLine="0" shrinkToFit="0" readingOrder="0"/>
    </dxf>
    <dxf>
      <fill>
        <patternFill patternType="none">
          <fgColor indexed="64"/>
          <bgColor indexed="65"/>
        </patternFill>
      </fill>
      <alignment horizontal="center" vertical="center" textRotation="0" indent="0" justifyLastLine="0" shrinkToFit="0" readingOrder="0"/>
    </dxf>
    <dxf>
      <alignment horizontal="general"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9C5BCE-31A9-483B-8988-22B44E1F2D25}" name="Table1" displayName="Table1" ref="B2:J35" totalsRowShown="0" headerRowDxfId="7">
  <autoFilter ref="B2:J35" xr:uid="{349C5BCE-31A9-483B-8988-22B44E1F2D25}"/>
  <tableColumns count="9">
    <tableColumn id="1" xr3:uid="{4BE4823E-1F82-4833-AF2F-131DD010580C}" name="Person"/>
    <tableColumn id="2" xr3:uid="{DB562737-07D7-4E32-87BE-737A9E467551}" name="Script"/>
    <tableColumn id="3" xr3:uid="{82DA99BE-8FA5-418D-8B10-AB213BBA6A87}" name="Manual Duration" dataDxfId="6"/>
    <tableColumn id="4" xr3:uid="{8B62B8E7-2869-4C2D-B8C8-CC3A3287E19F}" name="Word Count" dataDxfId="0">
      <calculatedColumnFormula>IF(LEN(TRIM(C3))=0,0,LEN(TRIM(C3))-LEN(SUBSTITUTE(C3," ",""))+1)</calculatedColumnFormula>
    </tableColumn>
    <tableColumn id="5" xr3:uid="{E3108AD1-6EE7-4AC3-8709-A0CD4E39F2D5}" name="Calc Duration" dataDxfId="5">
      <calculatedColumnFormula>IF(B3="",5,ROUND(E3/$C$1,0))</calculatedColumnFormula>
    </tableColumn>
    <tableColumn id="6" xr3:uid="{323E07CE-ED8A-4368-BB59-A5DB12DB9DCF}" name="Considered Duration" dataDxfId="1">
      <calculatedColumnFormula>IF(C4="",0, IF(D3="",F3,D3))</calculatedColumnFormula>
    </tableColumn>
    <tableColumn id="7" xr3:uid="{56248789-C177-4452-98BA-F0B1F351C871}" name="Cumul." dataDxfId="4">
      <calculatedColumnFormula>IF(D3="",F3,D3)+H2</calculatedColumnFormula>
    </tableColumn>
    <tableColumn id="8" xr3:uid="{17F3D273-F25E-4785-8267-E7D2BFF55085}" name="Min" dataDxfId="3">
      <calculatedColumnFormula>FLOOR(H3/60,1)</calculatedColumnFormula>
    </tableColumn>
    <tableColumn id="9" xr3:uid="{4B0D3E92-9097-41DC-A6A4-18D516858FE4}" name="Sec" dataDxfId="2">
      <calculatedColumnFormula>H3-I3*60</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A402E-1FEA-4E56-9C0B-7BC928FFDF93}">
  <dimension ref="A1:S35"/>
  <sheetViews>
    <sheetView tabSelected="1" workbookViewId="0">
      <pane xSplit="2" ySplit="2" topLeftCell="C29" activePane="bottomRight" state="frozen"/>
      <selection pane="topRight" activeCell="B1" sqref="B1"/>
      <selection pane="bottomLeft" activeCell="A3" sqref="A3"/>
      <selection pane="bottomRight" activeCell="G30" sqref="G30"/>
    </sheetView>
  </sheetViews>
  <sheetFormatPr defaultRowHeight="15" x14ac:dyDescent="0.25"/>
  <cols>
    <col min="2" max="2" width="13.28515625" customWidth="1"/>
    <col min="3" max="3" width="92.42578125" customWidth="1"/>
    <col min="4" max="4" width="12" customWidth="1"/>
    <col min="5" max="5" width="11.140625" customWidth="1"/>
    <col min="6" max="6" width="10.7109375" customWidth="1"/>
    <col min="7" max="7" width="11.140625" customWidth="1"/>
    <col min="8" max="8" width="11.5703125" customWidth="1"/>
    <col min="9" max="9" width="11.140625" customWidth="1"/>
  </cols>
  <sheetData>
    <row r="1" spans="1:19" ht="42.75" customHeight="1" x14ac:dyDescent="0.25">
      <c r="B1" s="30" t="s">
        <v>32</v>
      </c>
      <c r="C1" s="30">
        <v>2.2999999999999998</v>
      </c>
      <c r="D1" s="22" t="s">
        <v>3</v>
      </c>
      <c r="E1" s="27">
        <f>SUMIFS(Table1[[#All],[Considered Duration]],Table1[[#All],[Person]],D1)/$M$1</f>
        <v>0.35672514619883039</v>
      </c>
      <c r="F1" s="23" t="s">
        <v>62</v>
      </c>
      <c r="G1" s="27">
        <f>SUMIFS(Table1[[#All],[Considered Duration]],Table1[[#All],[Person]],F1)/$M$1</f>
        <v>0.30701754385964913</v>
      </c>
      <c r="H1" s="24" t="s">
        <v>63</v>
      </c>
      <c r="I1" s="27">
        <f>SUMIFS(Table1[[#All],[Considered Duration]],Table1[[#All],[Person]],H1)/$M$1</f>
        <v>0.26315789473684209</v>
      </c>
      <c r="L1" s="28" t="s">
        <v>4</v>
      </c>
      <c r="M1" s="29">
        <f>SUM(Table1[[#All],[Considered Duration]])</f>
        <v>684</v>
      </c>
      <c r="N1" s="30"/>
      <c r="O1" s="28" t="s">
        <v>5</v>
      </c>
      <c r="P1" s="29">
        <f>FLOOR(M1/60,1)</f>
        <v>11</v>
      </c>
      <c r="Q1" s="28" t="s">
        <v>6</v>
      </c>
      <c r="R1" s="29">
        <f>$M$1-P1*60</f>
        <v>24</v>
      </c>
      <c r="S1" s="30"/>
    </row>
    <row r="2" spans="1:19" ht="31.5" x14ac:dyDescent="0.25">
      <c r="A2" t="s">
        <v>38</v>
      </c>
      <c r="B2" s="15" t="s">
        <v>0</v>
      </c>
      <c r="C2" s="15" t="s">
        <v>1</v>
      </c>
      <c r="D2" s="15" t="s">
        <v>34</v>
      </c>
      <c r="E2" s="15" t="s">
        <v>31</v>
      </c>
      <c r="F2" s="15" t="s">
        <v>33</v>
      </c>
      <c r="G2" s="26" t="s">
        <v>35</v>
      </c>
      <c r="H2" s="25" t="s">
        <v>7</v>
      </c>
      <c r="I2" s="25" t="s">
        <v>5</v>
      </c>
      <c r="J2" s="25" t="s">
        <v>6</v>
      </c>
      <c r="L2" t="s">
        <v>36</v>
      </c>
      <c r="M2">
        <v>720</v>
      </c>
      <c r="O2" s="28" t="s">
        <v>5</v>
      </c>
      <c r="P2" s="29">
        <f>FLOOR(M2/60,1)</f>
        <v>12</v>
      </c>
      <c r="Q2" s="28" t="s">
        <v>6</v>
      </c>
      <c r="R2" s="29">
        <f>$M$2-P2*60</f>
        <v>0</v>
      </c>
    </row>
    <row r="3" spans="1:19" ht="15.75" x14ac:dyDescent="0.25">
      <c r="A3">
        <v>1</v>
      </c>
      <c r="B3" s="17"/>
      <c r="C3" s="17" t="s">
        <v>2</v>
      </c>
      <c r="D3" s="31">
        <v>5</v>
      </c>
      <c r="E3" s="31">
        <f t="shared" ref="E3:E35" si="0">IF(LEN(TRIM(C3))=0,0,LEN(TRIM(C3))-LEN(SUBSTITUTE(C3," ",""))+1)</f>
        <v>6</v>
      </c>
      <c r="F3" s="31">
        <f t="shared" ref="F3:F35" si="1">IF(B3="",5,ROUND(E3/$C$1,0))</f>
        <v>5</v>
      </c>
      <c r="G3" s="31">
        <f t="shared" ref="G3:G35" si="2">IF(C4="",0, IF(D3="",F3,D3))</f>
        <v>5</v>
      </c>
      <c r="H3" s="32">
        <f>G3</f>
        <v>5</v>
      </c>
      <c r="I3" s="32">
        <f>FLOOR(H3/60,1)</f>
        <v>0</v>
      </c>
      <c r="J3" s="32">
        <f>H3-I3*60</f>
        <v>5</v>
      </c>
    </row>
    <row r="4" spans="1:19" ht="141.75" x14ac:dyDescent="0.25">
      <c r="A4">
        <f>A3+1</f>
        <v>2</v>
      </c>
      <c r="B4" s="18" t="s">
        <v>3</v>
      </c>
      <c r="C4" s="17" t="s">
        <v>73</v>
      </c>
      <c r="D4" s="16"/>
      <c r="E4" s="31">
        <f t="shared" si="0"/>
        <v>105</v>
      </c>
      <c r="F4" s="31">
        <f t="shared" si="1"/>
        <v>46</v>
      </c>
      <c r="G4" s="31">
        <f t="shared" si="2"/>
        <v>46</v>
      </c>
      <c r="H4" s="32">
        <f>G4+H3</f>
        <v>51</v>
      </c>
      <c r="I4" s="32">
        <f t="shared" ref="I4" si="3">FLOOR(H4/60,1)</f>
        <v>0</v>
      </c>
      <c r="J4" s="32">
        <f t="shared" ref="J4" si="4">H4-I4*60</f>
        <v>51</v>
      </c>
    </row>
    <row r="5" spans="1:19" ht="15.75" x14ac:dyDescent="0.25">
      <c r="A5">
        <f t="shared" ref="A5:A33" si="5">A4+1</f>
        <v>3</v>
      </c>
      <c r="B5" s="17"/>
      <c r="C5" s="17" t="s">
        <v>64</v>
      </c>
      <c r="D5" s="31">
        <v>5</v>
      </c>
      <c r="E5" s="31">
        <f t="shared" si="0"/>
        <v>8</v>
      </c>
      <c r="F5" s="31">
        <f t="shared" si="1"/>
        <v>5</v>
      </c>
      <c r="G5" s="31">
        <f t="shared" si="2"/>
        <v>5</v>
      </c>
      <c r="H5" s="32">
        <f t="shared" ref="H5:H35" si="6">G5+H4</f>
        <v>56</v>
      </c>
      <c r="I5" s="32">
        <f t="shared" ref="I5:I6" si="7">FLOOR(H5/60,1)</f>
        <v>0</v>
      </c>
      <c r="J5" s="32">
        <f t="shared" ref="J5:J6" si="8">H5-I5*60</f>
        <v>56</v>
      </c>
    </row>
    <row r="6" spans="1:19" ht="94.5" x14ac:dyDescent="0.25">
      <c r="A6">
        <f t="shared" si="5"/>
        <v>4</v>
      </c>
      <c r="B6" s="19" t="s">
        <v>62</v>
      </c>
      <c r="C6" s="17" t="s">
        <v>74</v>
      </c>
      <c r="D6" s="16"/>
      <c r="E6" s="31">
        <f t="shared" si="0"/>
        <v>80</v>
      </c>
      <c r="F6" s="31">
        <f t="shared" si="1"/>
        <v>35</v>
      </c>
      <c r="G6" s="31">
        <f t="shared" si="2"/>
        <v>35</v>
      </c>
      <c r="H6" s="32">
        <f t="shared" si="6"/>
        <v>91</v>
      </c>
      <c r="I6" s="32">
        <f t="shared" si="7"/>
        <v>1</v>
      </c>
      <c r="J6" s="32">
        <f t="shared" si="8"/>
        <v>31</v>
      </c>
    </row>
    <row r="7" spans="1:19" ht="15.75" x14ac:dyDescent="0.25">
      <c r="A7">
        <f t="shared" si="5"/>
        <v>5</v>
      </c>
      <c r="B7" s="17"/>
      <c r="C7" s="17" t="s">
        <v>65</v>
      </c>
      <c r="D7" s="31">
        <v>5</v>
      </c>
      <c r="E7" s="31">
        <f t="shared" si="0"/>
        <v>6</v>
      </c>
      <c r="F7" s="31">
        <f t="shared" si="1"/>
        <v>5</v>
      </c>
      <c r="G7" s="31">
        <f t="shared" si="2"/>
        <v>5</v>
      </c>
      <c r="H7" s="32">
        <f t="shared" si="6"/>
        <v>96</v>
      </c>
      <c r="I7" s="32">
        <f t="shared" ref="I7:I35" si="9">FLOOR(H7/60,1)</f>
        <v>1</v>
      </c>
      <c r="J7" s="32">
        <f t="shared" ref="J7:J35" si="10">H7-I7*60</f>
        <v>36</v>
      </c>
      <c r="N7">
        <v>11.304</v>
      </c>
      <c r="O7">
        <f>SQRT(N7)</f>
        <v>3.3621421742692559</v>
      </c>
    </row>
    <row r="8" spans="1:19" ht="94.5" x14ac:dyDescent="0.25">
      <c r="A8">
        <f t="shared" si="5"/>
        <v>6</v>
      </c>
      <c r="B8" s="20" t="s">
        <v>63</v>
      </c>
      <c r="C8" s="17" t="s">
        <v>75</v>
      </c>
      <c r="D8" s="16"/>
      <c r="E8" s="31">
        <f t="shared" si="0"/>
        <v>54</v>
      </c>
      <c r="F8" s="31">
        <f t="shared" si="1"/>
        <v>23</v>
      </c>
      <c r="G8" s="31">
        <f t="shared" si="2"/>
        <v>23</v>
      </c>
      <c r="H8" s="32">
        <f t="shared" si="6"/>
        <v>119</v>
      </c>
      <c r="I8" s="32">
        <f t="shared" si="9"/>
        <v>1</v>
      </c>
      <c r="J8" s="32">
        <f t="shared" si="10"/>
        <v>59</v>
      </c>
      <c r="N8">
        <v>20.07</v>
      </c>
      <c r="O8">
        <f>SQRT(N8)</f>
        <v>4.4799553569204233</v>
      </c>
    </row>
    <row r="9" spans="1:19" ht="110.25" x14ac:dyDescent="0.25">
      <c r="A9">
        <f t="shared" si="5"/>
        <v>7</v>
      </c>
      <c r="B9" s="18" t="s">
        <v>3</v>
      </c>
      <c r="C9" s="17" t="s">
        <v>76</v>
      </c>
      <c r="D9" s="16"/>
      <c r="E9" s="31">
        <f t="shared" si="0"/>
        <v>86</v>
      </c>
      <c r="F9" s="31">
        <f t="shared" si="1"/>
        <v>37</v>
      </c>
      <c r="G9" s="31">
        <f t="shared" si="2"/>
        <v>37</v>
      </c>
      <c r="H9" s="32">
        <f t="shared" si="6"/>
        <v>156</v>
      </c>
      <c r="I9" s="32">
        <f t="shared" si="9"/>
        <v>2</v>
      </c>
      <c r="J9" s="32">
        <f t="shared" si="10"/>
        <v>36</v>
      </c>
      <c r="O9">
        <f>O8-O7</f>
        <v>1.1178131826511675</v>
      </c>
    </row>
    <row r="10" spans="1:19" ht="63" x14ac:dyDescent="0.25">
      <c r="A10">
        <f t="shared" si="5"/>
        <v>8</v>
      </c>
      <c r="B10" s="19" t="s">
        <v>62</v>
      </c>
      <c r="C10" s="17" t="s">
        <v>68</v>
      </c>
      <c r="D10" s="16"/>
      <c r="E10" s="31">
        <f t="shared" si="0"/>
        <v>40</v>
      </c>
      <c r="F10" s="31">
        <f t="shared" si="1"/>
        <v>17</v>
      </c>
      <c r="G10" s="31">
        <f t="shared" si="2"/>
        <v>17</v>
      </c>
      <c r="H10" s="32">
        <f t="shared" si="6"/>
        <v>173</v>
      </c>
      <c r="I10" s="32">
        <f t="shared" si="9"/>
        <v>2</v>
      </c>
      <c r="J10" s="32">
        <f t="shared" si="10"/>
        <v>53</v>
      </c>
    </row>
    <row r="11" spans="1:19" ht="15.75" x14ac:dyDescent="0.25">
      <c r="A11">
        <f t="shared" si="5"/>
        <v>9</v>
      </c>
      <c r="B11" s="17"/>
      <c r="C11" s="17" t="s">
        <v>67</v>
      </c>
      <c r="D11" s="16">
        <v>5</v>
      </c>
      <c r="E11" s="31">
        <f t="shared" si="0"/>
        <v>5</v>
      </c>
      <c r="F11" s="31">
        <f t="shared" si="1"/>
        <v>5</v>
      </c>
      <c r="G11" s="31">
        <f t="shared" si="2"/>
        <v>5</v>
      </c>
      <c r="H11" s="32">
        <f t="shared" si="6"/>
        <v>178</v>
      </c>
      <c r="I11" s="32">
        <f t="shared" si="9"/>
        <v>2</v>
      </c>
      <c r="J11" s="32">
        <f t="shared" si="10"/>
        <v>58</v>
      </c>
      <c r="N11">
        <v>5000000</v>
      </c>
    </row>
    <row r="12" spans="1:19" ht="47.25" x14ac:dyDescent="0.25">
      <c r="A12">
        <f t="shared" si="5"/>
        <v>10</v>
      </c>
      <c r="B12" s="18" t="s">
        <v>3</v>
      </c>
      <c r="C12" s="17" t="s">
        <v>77</v>
      </c>
      <c r="D12" s="16"/>
      <c r="E12" s="31">
        <f t="shared" si="0"/>
        <v>30</v>
      </c>
      <c r="F12" s="31">
        <f t="shared" si="1"/>
        <v>13</v>
      </c>
      <c r="G12" s="31">
        <f t="shared" si="2"/>
        <v>13</v>
      </c>
      <c r="H12" s="32">
        <f t="shared" si="6"/>
        <v>191</v>
      </c>
      <c r="I12" s="32">
        <f t="shared" si="9"/>
        <v>3</v>
      </c>
      <c r="J12" s="32">
        <f t="shared" si="10"/>
        <v>11</v>
      </c>
      <c r="N12">
        <f>N11/365</f>
        <v>13698.630136986301</v>
      </c>
    </row>
    <row r="13" spans="1:19" ht="47.25" x14ac:dyDescent="0.25">
      <c r="A13">
        <f t="shared" si="5"/>
        <v>11</v>
      </c>
      <c r="B13" s="19" t="s">
        <v>62</v>
      </c>
      <c r="C13" s="17" t="s">
        <v>72</v>
      </c>
      <c r="D13" s="16"/>
      <c r="E13" s="31">
        <f t="shared" si="0"/>
        <v>29</v>
      </c>
      <c r="F13" s="31">
        <f t="shared" si="1"/>
        <v>13</v>
      </c>
      <c r="G13" s="31">
        <f t="shared" si="2"/>
        <v>13</v>
      </c>
      <c r="H13" s="32">
        <f t="shared" si="6"/>
        <v>204</v>
      </c>
      <c r="I13" s="32">
        <f t="shared" si="9"/>
        <v>3</v>
      </c>
      <c r="J13" s="32">
        <f t="shared" si="10"/>
        <v>24</v>
      </c>
      <c r="N13">
        <f>N12/24</f>
        <v>570.77625570776252</v>
      </c>
    </row>
    <row r="14" spans="1:19" ht="47.25" x14ac:dyDescent="0.25">
      <c r="A14">
        <f t="shared" si="5"/>
        <v>12</v>
      </c>
      <c r="B14" s="20" t="s">
        <v>63</v>
      </c>
      <c r="C14" s="17" t="s">
        <v>78</v>
      </c>
      <c r="D14" s="16"/>
      <c r="E14" s="31">
        <f t="shared" si="0"/>
        <v>37</v>
      </c>
      <c r="F14" s="31">
        <f t="shared" si="1"/>
        <v>16</v>
      </c>
      <c r="G14" s="31">
        <f t="shared" si="2"/>
        <v>16</v>
      </c>
      <c r="H14" s="32">
        <f t="shared" si="6"/>
        <v>220</v>
      </c>
      <c r="I14" s="32">
        <f t="shared" si="9"/>
        <v>3</v>
      </c>
      <c r="J14" s="32">
        <f t="shared" si="10"/>
        <v>40</v>
      </c>
      <c r="N14">
        <f>N13/60</f>
        <v>9.512937595129376</v>
      </c>
    </row>
    <row r="15" spans="1:19" ht="15.75" x14ac:dyDescent="0.25">
      <c r="A15">
        <f t="shared" si="5"/>
        <v>13</v>
      </c>
      <c r="B15" s="17"/>
      <c r="C15" s="17" t="s">
        <v>66</v>
      </c>
      <c r="D15" s="16">
        <v>5</v>
      </c>
      <c r="E15" s="31">
        <f t="shared" si="0"/>
        <v>8</v>
      </c>
      <c r="F15" s="31">
        <f t="shared" si="1"/>
        <v>5</v>
      </c>
      <c r="G15" s="31">
        <f t="shared" si="2"/>
        <v>5</v>
      </c>
      <c r="H15" s="32">
        <f t="shared" si="6"/>
        <v>225</v>
      </c>
      <c r="I15" s="32">
        <f t="shared" si="9"/>
        <v>3</v>
      </c>
      <c r="J15" s="32">
        <f t="shared" si="10"/>
        <v>45</v>
      </c>
    </row>
    <row r="16" spans="1:19" ht="47.25" x14ac:dyDescent="0.25">
      <c r="A16">
        <f t="shared" si="5"/>
        <v>14</v>
      </c>
      <c r="B16" s="19" t="s">
        <v>62</v>
      </c>
      <c r="C16" s="17" t="s">
        <v>69</v>
      </c>
      <c r="D16" s="16"/>
      <c r="E16" s="31">
        <f t="shared" si="0"/>
        <v>35</v>
      </c>
      <c r="F16" s="31">
        <f t="shared" si="1"/>
        <v>15</v>
      </c>
      <c r="G16" s="31">
        <f t="shared" si="2"/>
        <v>15</v>
      </c>
      <c r="H16" s="32">
        <f t="shared" si="6"/>
        <v>240</v>
      </c>
      <c r="I16" s="32">
        <f t="shared" si="9"/>
        <v>4</v>
      </c>
      <c r="J16" s="32">
        <f t="shared" si="10"/>
        <v>0</v>
      </c>
    </row>
    <row r="17" spans="1:13" ht="141.75" x14ac:dyDescent="0.25">
      <c r="A17">
        <f t="shared" si="5"/>
        <v>15</v>
      </c>
      <c r="B17" s="20" t="s">
        <v>63</v>
      </c>
      <c r="C17" s="17" t="s">
        <v>70</v>
      </c>
      <c r="D17" s="16"/>
      <c r="E17" s="31">
        <f t="shared" si="0"/>
        <v>84</v>
      </c>
      <c r="F17" s="31">
        <f t="shared" si="1"/>
        <v>37</v>
      </c>
      <c r="G17" s="31">
        <f t="shared" si="2"/>
        <v>37</v>
      </c>
      <c r="H17" s="32">
        <f t="shared" si="6"/>
        <v>277</v>
      </c>
      <c r="I17" s="32">
        <f t="shared" si="9"/>
        <v>4</v>
      </c>
      <c r="J17" s="32">
        <f t="shared" si="10"/>
        <v>37</v>
      </c>
    </row>
    <row r="18" spans="1:13" ht="15.75" x14ac:dyDescent="0.25">
      <c r="A18">
        <f t="shared" si="5"/>
        <v>16</v>
      </c>
      <c r="C18" s="17" t="s">
        <v>71</v>
      </c>
      <c r="D18" s="31">
        <v>5</v>
      </c>
      <c r="E18" s="31">
        <f t="shared" si="0"/>
        <v>4</v>
      </c>
      <c r="F18" s="31">
        <f t="shared" si="1"/>
        <v>5</v>
      </c>
      <c r="G18" s="31">
        <f t="shared" si="2"/>
        <v>5</v>
      </c>
      <c r="H18" s="32">
        <f t="shared" si="6"/>
        <v>282</v>
      </c>
      <c r="I18" s="32">
        <f t="shared" si="9"/>
        <v>4</v>
      </c>
      <c r="J18" s="32">
        <f t="shared" si="10"/>
        <v>42</v>
      </c>
    </row>
    <row r="19" spans="1:13" ht="189" x14ac:dyDescent="0.25">
      <c r="A19">
        <f t="shared" si="5"/>
        <v>17</v>
      </c>
      <c r="B19" s="18" t="s">
        <v>3</v>
      </c>
      <c r="C19" s="17" t="s">
        <v>79</v>
      </c>
      <c r="D19" s="31"/>
      <c r="E19" s="31">
        <f t="shared" si="0"/>
        <v>116</v>
      </c>
      <c r="F19" s="31">
        <f t="shared" si="1"/>
        <v>50</v>
      </c>
      <c r="G19" s="31">
        <f t="shared" si="2"/>
        <v>50</v>
      </c>
      <c r="H19" s="32">
        <f t="shared" si="6"/>
        <v>332</v>
      </c>
      <c r="I19" s="32">
        <f t="shared" si="9"/>
        <v>5</v>
      </c>
      <c r="J19" s="32">
        <f t="shared" si="10"/>
        <v>32</v>
      </c>
    </row>
    <row r="20" spans="1:13" ht="189" x14ac:dyDescent="0.25">
      <c r="A20">
        <f t="shared" si="5"/>
        <v>18</v>
      </c>
      <c r="B20" s="19" t="s">
        <v>62</v>
      </c>
      <c r="C20" s="17" t="s">
        <v>80</v>
      </c>
      <c r="D20" s="31"/>
      <c r="E20" s="31">
        <f t="shared" si="0"/>
        <v>125</v>
      </c>
      <c r="F20" s="31">
        <f t="shared" si="1"/>
        <v>54</v>
      </c>
      <c r="G20" s="31">
        <f t="shared" si="2"/>
        <v>54</v>
      </c>
      <c r="H20" s="32">
        <f t="shared" si="6"/>
        <v>386</v>
      </c>
      <c r="I20" s="32">
        <f t="shared" si="9"/>
        <v>6</v>
      </c>
      <c r="J20" s="32">
        <f t="shared" si="10"/>
        <v>26</v>
      </c>
    </row>
    <row r="21" spans="1:13" ht="15.75" x14ac:dyDescent="0.25">
      <c r="A21">
        <f t="shared" si="5"/>
        <v>19</v>
      </c>
      <c r="C21" t="s">
        <v>81</v>
      </c>
      <c r="D21" s="31">
        <v>5</v>
      </c>
      <c r="E21" s="31">
        <f t="shared" si="0"/>
        <v>4</v>
      </c>
      <c r="F21" s="31">
        <f t="shared" si="1"/>
        <v>5</v>
      </c>
      <c r="G21" s="31">
        <f t="shared" si="2"/>
        <v>5</v>
      </c>
      <c r="H21" s="32">
        <f t="shared" si="6"/>
        <v>391</v>
      </c>
      <c r="I21" s="32">
        <f t="shared" si="9"/>
        <v>6</v>
      </c>
      <c r="J21" s="32">
        <f t="shared" si="10"/>
        <v>31</v>
      </c>
    </row>
    <row r="22" spans="1:13" ht="267.75" x14ac:dyDescent="0.25">
      <c r="A22">
        <f t="shared" si="5"/>
        <v>20</v>
      </c>
      <c r="B22" s="20" t="s">
        <v>63</v>
      </c>
      <c r="C22" s="17" t="s">
        <v>82</v>
      </c>
      <c r="D22" s="31"/>
      <c r="E22" s="31">
        <f t="shared" si="0"/>
        <v>155</v>
      </c>
      <c r="F22" s="31">
        <f t="shared" si="1"/>
        <v>67</v>
      </c>
      <c r="G22" s="31">
        <f t="shared" si="2"/>
        <v>67</v>
      </c>
      <c r="H22" s="32">
        <f t="shared" si="6"/>
        <v>458</v>
      </c>
      <c r="I22" s="32">
        <f t="shared" si="9"/>
        <v>7</v>
      </c>
      <c r="J22" s="32">
        <f t="shared" si="10"/>
        <v>38</v>
      </c>
      <c r="M22">
        <v>100</v>
      </c>
    </row>
    <row r="23" spans="1:13" ht="126" x14ac:dyDescent="0.25">
      <c r="A23">
        <f t="shared" si="5"/>
        <v>21</v>
      </c>
      <c r="B23" s="18" t="s">
        <v>3</v>
      </c>
      <c r="C23" s="17" t="s">
        <v>83</v>
      </c>
      <c r="D23" s="32"/>
      <c r="E23" s="31">
        <f t="shared" si="0"/>
        <v>86</v>
      </c>
      <c r="F23" s="31">
        <f t="shared" si="1"/>
        <v>37</v>
      </c>
      <c r="G23" s="31">
        <f t="shared" si="2"/>
        <v>37</v>
      </c>
      <c r="H23" s="32">
        <f t="shared" si="6"/>
        <v>495</v>
      </c>
      <c r="I23" s="32">
        <f t="shared" si="9"/>
        <v>8</v>
      </c>
      <c r="J23" s="32">
        <f t="shared" si="10"/>
        <v>15</v>
      </c>
    </row>
    <row r="24" spans="1:13" ht="141.75" x14ac:dyDescent="0.25">
      <c r="A24">
        <f t="shared" si="5"/>
        <v>22</v>
      </c>
      <c r="B24" s="19" t="s">
        <v>62</v>
      </c>
      <c r="C24" s="17" t="s">
        <v>85</v>
      </c>
      <c r="D24" s="32"/>
      <c r="E24" s="31">
        <f t="shared" si="0"/>
        <v>77</v>
      </c>
      <c r="F24" s="31">
        <f t="shared" si="1"/>
        <v>33</v>
      </c>
      <c r="G24" s="31">
        <f t="shared" si="2"/>
        <v>33</v>
      </c>
      <c r="H24" s="32">
        <f t="shared" si="6"/>
        <v>528</v>
      </c>
      <c r="I24" s="32">
        <f t="shared" si="9"/>
        <v>8</v>
      </c>
      <c r="J24" s="32">
        <f t="shared" si="10"/>
        <v>48</v>
      </c>
    </row>
    <row r="25" spans="1:13" ht="15.75" x14ac:dyDescent="0.25">
      <c r="A25">
        <f t="shared" si="5"/>
        <v>23</v>
      </c>
      <c r="C25" s="17" t="s">
        <v>84</v>
      </c>
      <c r="D25" s="32">
        <v>5</v>
      </c>
      <c r="E25" s="31">
        <f t="shared" si="0"/>
        <v>4</v>
      </c>
      <c r="F25" s="31">
        <f t="shared" si="1"/>
        <v>5</v>
      </c>
      <c r="G25" s="31">
        <f t="shared" si="2"/>
        <v>5</v>
      </c>
      <c r="H25" s="32">
        <f t="shared" si="6"/>
        <v>533</v>
      </c>
      <c r="I25" s="32">
        <f t="shared" si="9"/>
        <v>8</v>
      </c>
      <c r="J25" s="32">
        <f t="shared" si="10"/>
        <v>53</v>
      </c>
    </row>
    <row r="26" spans="1:13" ht="126" x14ac:dyDescent="0.25">
      <c r="A26">
        <f t="shared" si="5"/>
        <v>24</v>
      </c>
      <c r="B26" s="20" t="s">
        <v>63</v>
      </c>
      <c r="C26" s="17" t="s">
        <v>86</v>
      </c>
      <c r="D26" s="33"/>
      <c r="E26" s="31">
        <f t="shared" si="0"/>
        <v>84</v>
      </c>
      <c r="F26" s="31">
        <f t="shared" si="1"/>
        <v>37</v>
      </c>
      <c r="G26" s="31">
        <f t="shared" si="2"/>
        <v>37</v>
      </c>
      <c r="H26" s="32">
        <f t="shared" si="6"/>
        <v>570</v>
      </c>
      <c r="I26" s="32">
        <f t="shared" si="9"/>
        <v>9</v>
      </c>
      <c r="J26" s="32">
        <f t="shared" si="10"/>
        <v>30</v>
      </c>
      <c r="K26" s="21"/>
    </row>
    <row r="27" spans="1:13" ht="15.75" x14ac:dyDescent="0.25">
      <c r="A27">
        <f t="shared" si="5"/>
        <v>25</v>
      </c>
      <c r="C27" s="17" t="s">
        <v>87</v>
      </c>
      <c r="D27" s="32">
        <v>5</v>
      </c>
      <c r="E27" s="31">
        <f t="shared" si="0"/>
        <v>4</v>
      </c>
      <c r="F27" s="31">
        <f t="shared" si="1"/>
        <v>5</v>
      </c>
      <c r="G27" s="31">
        <f t="shared" si="2"/>
        <v>5</v>
      </c>
      <c r="H27" s="32">
        <f t="shared" si="6"/>
        <v>575</v>
      </c>
      <c r="I27" s="32">
        <f t="shared" si="9"/>
        <v>9</v>
      </c>
      <c r="J27" s="32">
        <f t="shared" si="10"/>
        <v>35</v>
      </c>
      <c r="K27" s="21"/>
    </row>
    <row r="28" spans="1:13" ht="220.5" x14ac:dyDescent="0.25">
      <c r="A28">
        <f t="shared" si="5"/>
        <v>26</v>
      </c>
      <c r="B28" s="18" t="s">
        <v>3</v>
      </c>
      <c r="C28" s="17" t="s">
        <v>88</v>
      </c>
      <c r="D28" s="33"/>
      <c r="E28" s="31">
        <f t="shared" si="0"/>
        <v>141</v>
      </c>
      <c r="F28" s="31">
        <f t="shared" si="1"/>
        <v>61</v>
      </c>
      <c r="G28" s="31">
        <f t="shared" si="2"/>
        <v>61</v>
      </c>
      <c r="H28" s="32">
        <f t="shared" si="6"/>
        <v>636</v>
      </c>
      <c r="I28" s="32">
        <f t="shared" si="9"/>
        <v>10</v>
      </c>
      <c r="J28" s="32">
        <f t="shared" si="10"/>
        <v>36</v>
      </c>
      <c r="K28" s="21"/>
    </row>
    <row r="29" spans="1:13" ht="141.75" x14ac:dyDescent="0.25">
      <c r="A29">
        <f t="shared" si="5"/>
        <v>27</v>
      </c>
      <c r="B29" s="19" t="s">
        <v>62</v>
      </c>
      <c r="C29" s="17" t="s">
        <v>89</v>
      </c>
      <c r="D29" s="32"/>
      <c r="E29" s="31">
        <f t="shared" si="0"/>
        <v>99</v>
      </c>
      <c r="F29" s="31">
        <f t="shared" ref="F29:F35" si="11">IF(B29="",5,ROUND(E29/$C$1,0))</f>
        <v>43</v>
      </c>
      <c r="G29" s="31">
        <f t="shared" si="2"/>
        <v>43</v>
      </c>
      <c r="H29" s="32">
        <f t="shared" ref="H29:H35" si="12">G29+H28</f>
        <v>679</v>
      </c>
      <c r="I29" s="32">
        <f t="shared" ref="I29:I35" si="13">FLOOR(H29/60,1)</f>
        <v>11</v>
      </c>
      <c r="J29" s="32">
        <f t="shared" ref="J29:J35" si="14">H29-I29*60</f>
        <v>19</v>
      </c>
    </row>
    <row r="30" spans="1:13" ht="236.25" x14ac:dyDescent="0.25">
      <c r="A30">
        <f t="shared" si="5"/>
        <v>28</v>
      </c>
      <c r="B30" s="20" t="s">
        <v>63</v>
      </c>
      <c r="C30" s="17" t="s">
        <v>90</v>
      </c>
      <c r="D30" s="32"/>
      <c r="E30" s="31">
        <f t="shared" si="0"/>
        <v>154</v>
      </c>
      <c r="F30" s="31">
        <f t="shared" si="11"/>
        <v>67</v>
      </c>
      <c r="G30" s="31">
        <f t="shared" si="2"/>
        <v>0</v>
      </c>
      <c r="H30" s="32">
        <f t="shared" si="12"/>
        <v>679</v>
      </c>
      <c r="I30" s="32">
        <f t="shared" si="13"/>
        <v>11</v>
      </c>
      <c r="J30" s="32">
        <f t="shared" si="14"/>
        <v>19</v>
      </c>
    </row>
    <row r="31" spans="1:13" ht="15.75" x14ac:dyDescent="0.25">
      <c r="A31">
        <f t="shared" si="5"/>
        <v>29</v>
      </c>
      <c r="B31" s="18" t="s">
        <v>3</v>
      </c>
      <c r="C31" s="17"/>
      <c r="D31" s="32"/>
      <c r="E31" s="31">
        <f t="shared" si="0"/>
        <v>0</v>
      </c>
      <c r="F31" s="31">
        <f t="shared" si="11"/>
        <v>0</v>
      </c>
      <c r="G31" s="31">
        <f t="shared" si="2"/>
        <v>0</v>
      </c>
      <c r="H31" s="32">
        <f t="shared" si="12"/>
        <v>679</v>
      </c>
      <c r="I31" s="32">
        <f t="shared" si="13"/>
        <v>11</v>
      </c>
      <c r="J31" s="32">
        <f t="shared" si="14"/>
        <v>19</v>
      </c>
    </row>
    <row r="32" spans="1:13" ht="15.75" x14ac:dyDescent="0.25">
      <c r="A32">
        <f t="shared" si="5"/>
        <v>30</v>
      </c>
      <c r="C32" s="17" t="s">
        <v>66</v>
      </c>
      <c r="D32" s="32"/>
      <c r="E32" s="31">
        <f t="shared" si="0"/>
        <v>8</v>
      </c>
      <c r="F32" s="31">
        <f t="shared" si="11"/>
        <v>5</v>
      </c>
      <c r="G32" s="31">
        <f t="shared" si="2"/>
        <v>5</v>
      </c>
      <c r="H32" s="32">
        <f t="shared" si="12"/>
        <v>684</v>
      </c>
      <c r="I32" s="32">
        <f t="shared" si="13"/>
        <v>11</v>
      </c>
      <c r="J32" s="32">
        <f t="shared" si="14"/>
        <v>24</v>
      </c>
    </row>
    <row r="33" spans="1:10" ht="15.75" x14ac:dyDescent="0.25">
      <c r="A33">
        <f t="shared" si="5"/>
        <v>31</v>
      </c>
      <c r="C33" s="17" t="s">
        <v>37</v>
      </c>
      <c r="D33" s="32"/>
      <c r="E33" s="31">
        <f t="shared" si="0"/>
        <v>1</v>
      </c>
      <c r="F33" s="31">
        <f t="shared" si="11"/>
        <v>5</v>
      </c>
      <c r="G33" s="31">
        <f t="shared" si="2"/>
        <v>0</v>
      </c>
      <c r="H33" s="32">
        <f t="shared" si="12"/>
        <v>684</v>
      </c>
      <c r="I33" s="32">
        <f t="shared" si="13"/>
        <v>11</v>
      </c>
      <c r="J33" s="32">
        <f t="shared" si="14"/>
        <v>24</v>
      </c>
    </row>
    <row r="34" spans="1:10" ht="15.75" x14ac:dyDescent="0.25">
      <c r="C34" s="17"/>
      <c r="D34" s="31"/>
      <c r="E34" s="31">
        <f t="shared" si="0"/>
        <v>0</v>
      </c>
      <c r="F34" s="31">
        <f t="shared" si="11"/>
        <v>5</v>
      </c>
      <c r="G34" s="31">
        <f t="shared" si="2"/>
        <v>0</v>
      </c>
      <c r="H34" s="32">
        <f t="shared" si="12"/>
        <v>684</v>
      </c>
      <c r="I34" s="32">
        <f t="shared" si="13"/>
        <v>11</v>
      </c>
      <c r="J34" s="32">
        <f t="shared" si="14"/>
        <v>24</v>
      </c>
    </row>
    <row r="35" spans="1:10" ht="15.75" x14ac:dyDescent="0.25">
      <c r="C35" s="17"/>
      <c r="D35" s="32"/>
      <c r="E35" s="31">
        <f t="shared" si="0"/>
        <v>0</v>
      </c>
      <c r="F35" s="31">
        <f t="shared" si="11"/>
        <v>5</v>
      </c>
      <c r="G35" s="31">
        <f t="shared" si="2"/>
        <v>0</v>
      </c>
      <c r="H35" s="32">
        <f t="shared" si="12"/>
        <v>684</v>
      </c>
      <c r="I35" s="32">
        <f t="shared" si="13"/>
        <v>11</v>
      </c>
      <c r="J35" s="32">
        <f t="shared" si="14"/>
        <v>24</v>
      </c>
    </row>
  </sheetData>
  <conditionalFormatting sqref="E1 G1 I1">
    <cfRule type="dataBar" priority="2">
      <dataBar>
        <cfvo type="min"/>
        <cfvo type="max"/>
        <color rgb="FFD6007B"/>
      </dataBar>
      <extLst>
        <ext xmlns:x14="http://schemas.microsoft.com/office/spreadsheetml/2009/9/main" uri="{B025F937-C7B1-47D3-B67F-A62EFF666E3E}">
          <x14:id>{1539D582-B986-44DD-A99C-2574692F7EAE}</x14:id>
        </ext>
      </extLst>
    </cfRule>
  </conditionalFormatting>
  <conditionalFormatting sqref="G1 E1 I1">
    <cfRule type="dataBar" priority="3">
      <dataBar>
        <cfvo type="min"/>
        <cfvo type="max"/>
        <color rgb="FFD6007B"/>
      </dataBar>
      <extLst>
        <ext xmlns:x14="http://schemas.microsoft.com/office/spreadsheetml/2009/9/main" uri="{B025F937-C7B1-47D3-B67F-A62EFF666E3E}">
          <x14:id>{1765F067-15A1-47CF-A5AC-51769FD29D03}</x14:id>
        </ext>
      </extLst>
    </cfRule>
  </conditionalFormatting>
  <conditionalFormatting sqref="M1:M2">
    <cfRule type="dataBar" priority="1">
      <dataBar>
        <cfvo type="min"/>
        <cfvo type="max"/>
        <color rgb="FFD6007B"/>
      </dataBar>
      <extLst>
        <ext xmlns:x14="http://schemas.microsoft.com/office/spreadsheetml/2009/9/main" uri="{B025F937-C7B1-47D3-B67F-A62EFF666E3E}">
          <x14:id>{5DEF1E41-F2DB-4786-89BD-12A9F18D5DD5}</x14:id>
        </ext>
      </extLs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539D582-B986-44DD-A99C-2574692F7EAE}">
            <x14:dataBar minLength="0" maxLength="100" border="1" negativeBarBorderColorSameAsPositive="0">
              <x14:cfvo type="autoMin"/>
              <x14:cfvo type="autoMax"/>
              <x14:borderColor rgb="FFD6007B"/>
              <x14:negativeFillColor rgb="FFFF0000"/>
              <x14:negativeBorderColor rgb="FFFF0000"/>
              <x14:axisColor rgb="FF000000"/>
            </x14:dataBar>
          </x14:cfRule>
          <xm:sqref>E1 G1 I1</xm:sqref>
        </x14:conditionalFormatting>
        <x14:conditionalFormatting xmlns:xm="http://schemas.microsoft.com/office/excel/2006/main">
          <x14:cfRule type="dataBar" id="{1765F067-15A1-47CF-A5AC-51769FD29D03}">
            <x14:dataBar minLength="0" maxLength="100" gradient="0">
              <x14:cfvo type="autoMin"/>
              <x14:cfvo type="autoMax"/>
              <x14:negativeFillColor rgb="FFFF0000"/>
              <x14:axisColor rgb="FF000000"/>
            </x14:dataBar>
          </x14:cfRule>
          <xm:sqref>G1 E1 I1</xm:sqref>
        </x14:conditionalFormatting>
        <x14:conditionalFormatting xmlns:xm="http://schemas.microsoft.com/office/excel/2006/main">
          <x14:cfRule type="dataBar" id="{5DEF1E41-F2DB-4786-89BD-12A9F18D5DD5}">
            <x14:dataBar minLength="0" maxLength="100" border="1" negativeBarBorderColorSameAsPositive="0">
              <x14:cfvo type="autoMin"/>
              <x14:cfvo type="autoMax"/>
              <x14:borderColor rgb="FFD6007B"/>
              <x14:negativeFillColor rgb="FFFF0000"/>
              <x14:negativeBorderColor rgb="FFFF0000"/>
              <x14:axisColor rgb="FF000000"/>
            </x14:dataBar>
          </x14:cfRule>
          <xm:sqref>M1:M2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73595-21C1-4B77-BE9F-33F047BA8CA3}">
  <dimension ref="A1:J11"/>
  <sheetViews>
    <sheetView workbookViewId="0">
      <selection activeCell="A3" sqref="A3"/>
    </sheetView>
  </sheetViews>
  <sheetFormatPr defaultRowHeight="15" x14ac:dyDescent="0.25"/>
  <cols>
    <col min="1" max="1" width="17.28515625" customWidth="1"/>
  </cols>
  <sheetData>
    <row r="1" spans="1:10" ht="15.75" thickBot="1" x14ac:dyDescent="0.3">
      <c r="A1" s="37" t="s">
        <v>24</v>
      </c>
      <c r="B1" s="39" t="s">
        <v>9</v>
      </c>
      <c r="C1" s="40"/>
      <c r="D1" s="41"/>
      <c r="E1" s="39" t="s">
        <v>11</v>
      </c>
      <c r="F1" s="40"/>
      <c r="G1" s="41"/>
      <c r="H1" s="39" t="s">
        <v>10</v>
      </c>
      <c r="I1" s="40"/>
      <c r="J1" s="42"/>
    </row>
    <row r="2" spans="1:10" ht="17.25" x14ac:dyDescent="0.25">
      <c r="A2" s="38"/>
      <c r="B2" s="3" t="s">
        <v>12</v>
      </c>
      <c r="C2" s="3" t="s">
        <v>13</v>
      </c>
      <c r="D2" s="3" t="s">
        <v>30</v>
      </c>
      <c r="E2" s="3" t="s">
        <v>12</v>
      </c>
      <c r="F2" s="3" t="s">
        <v>13</v>
      </c>
      <c r="G2" s="3" t="s">
        <v>30</v>
      </c>
      <c r="H2" s="3" t="s">
        <v>12</v>
      </c>
      <c r="I2" s="3" t="s">
        <v>13</v>
      </c>
      <c r="J2" s="6" t="s">
        <v>30</v>
      </c>
    </row>
    <row r="3" spans="1:10" x14ac:dyDescent="0.25">
      <c r="A3" s="7" t="s">
        <v>25</v>
      </c>
      <c r="B3" s="4">
        <v>23.25</v>
      </c>
      <c r="C3" s="4">
        <v>3.84</v>
      </c>
      <c r="D3" s="4">
        <v>0.92</v>
      </c>
      <c r="E3" s="4">
        <v>23.54</v>
      </c>
      <c r="F3" s="4">
        <v>3.78</v>
      </c>
      <c r="G3" s="4">
        <v>0.92</v>
      </c>
      <c r="H3" s="4">
        <v>21.78</v>
      </c>
      <c r="I3" s="4">
        <v>3.71</v>
      </c>
      <c r="J3" s="8">
        <v>0.92</v>
      </c>
    </row>
    <row r="4" spans="1:10" x14ac:dyDescent="0.25">
      <c r="A4" s="9" t="s">
        <v>16</v>
      </c>
      <c r="B4" s="4">
        <v>20.71</v>
      </c>
      <c r="C4" s="4">
        <v>3.62</v>
      </c>
      <c r="D4" s="4">
        <v>0.93</v>
      </c>
      <c r="E4" s="4">
        <v>21.25</v>
      </c>
      <c r="F4" s="4">
        <v>3.65</v>
      </c>
      <c r="G4" s="4">
        <v>0.93</v>
      </c>
      <c r="H4" s="4">
        <v>19.28</v>
      </c>
      <c r="I4" s="4">
        <v>3.52</v>
      </c>
      <c r="J4" s="8">
        <v>0.93</v>
      </c>
    </row>
    <row r="5" spans="1:10" ht="22.5" x14ac:dyDescent="0.25">
      <c r="A5" s="9" t="s">
        <v>26</v>
      </c>
      <c r="B5" s="4">
        <v>0</v>
      </c>
      <c r="C5" s="4">
        <v>0</v>
      </c>
      <c r="D5" s="4">
        <v>1</v>
      </c>
      <c r="E5" s="4">
        <v>22.37</v>
      </c>
      <c r="F5" s="4">
        <v>3.32</v>
      </c>
      <c r="G5" s="4">
        <v>0.93</v>
      </c>
      <c r="H5" s="4">
        <v>21.78</v>
      </c>
      <c r="I5" s="4">
        <v>3.28</v>
      </c>
      <c r="J5" s="8">
        <v>0.92</v>
      </c>
    </row>
    <row r="6" spans="1:10" ht="22.5" x14ac:dyDescent="0.25">
      <c r="A6" s="10" t="s">
        <v>27</v>
      </c>
      <c r="B6" s="5">
        <v>1.79</v>
      </c>
      <c r="C6" s="5">
        <v>0.95</v>
      </c>
      <c r="D6" s="5">
        <v>0.99</v>
      </c>
      <c r="E6" s="5">
        <v>12.96</v>
      </c>
      <c r="F6" s="5">
        <v>2.63</v>
      </c>
      <c r="G6" s="5">
        <v>0.96</v>
      </c>
      <c r="H6" s="5">
        <v>11.54</v>
      </c>
      <c r="I6" s="5">
        <v>2.48</v>
      </c>
      <c r="J6" s="11">
        <v>0.96</v>
      </c>
    </row>
    <row r="7" spans="1:10" ht="22.5" x14ac:dyDescent="0.25">
      <c r="A7" s="9" t="s">
        <v>28</v>
      </c>
      <c r="B7" s="4">
        <v>13.46</v>
      </c>
      <c r="C7" s="4">
        <v>2.81</v>
      </c>
      <c r="D7" s="4">
        <v>0.95</v>
      </c>
      <c r="E7" s="4">
        <v>16.36</v>
      </c>
      <c r="F7" s="4">
        <v>3.08</v>
      </c>
      <c r="G7" s="4">
        <v>0.95</v>
      </c>
      <c r="H7" s="4">
        <v>14.55</v>
      </c>
      <c r="I7" s="4">
        <v>2.96</v>
      </c>
      <c r="J7" s="8">
        <v>0.95</v>
      </c>
    </row>
    <row r="8" spans="1:10" x14ac:dyDescent="0.25">
      <c r="A8" s="9" t="s">
        <v>29</v>
      </c>
      <c r="B8" s="4">
        <v>24</v>
      </c>
      <c r="C8" s="4">
        <v>3.95</v>
      </c>
      <c r="D8" s="4">
        <v>0.92</v>
      </c>
      <c r="E8" s="4">
        <v>28.55</v>
      </c>
      <c r="F8" s="4">
        <v>4.1900000000000004</v>
      </c>
      <c r="G8" s="4">
        <v>0.91</v>
      </c>
      <c r="H8" s="4">
        <v>23.92</v>
      </c>
      <c r="I8" s="4">
        <v>3.91</v>
      </c>
      <c r="J8" s="8">
        <v>0.92</v>
      </c>
    </row>
    <row r="9" spans="1:10" x14ac:dyDescent="0.25">
      <c r="A9" s="9" t="s">
        <v>21</v>
      </c>
      <c r="B9" s="4">
        <v>2.4500000000000002</v>
      </c>
      <c r="C9" s="4">
        <v>1.05</v>
      </c>
      <c r="D9" s="4">
        <v>0.99</v>
      </c>
      <c r="E9" s="4">
        <v>13.62</v>
      </c>
      <c r="F9" s="4">
        <v>2.71</v>
      </c>
      <c r="G9" s="4">
        <v>0.96</v>
      </c>
      <c r="H9" s="4">
        <v>12.27</v>
      </c>
      <c r="I9" s="4">
        <v>2.56</v>
      </c>
      <c r="J9" s="8">
        <v>0.96</v>
      </c>
    </row>
    <row r="10" spans="1:10" x14ac:dyDescent="0.25">
      <c r="A10" s="9" t="s">
        <v>22</v>
      </c>
      <c r="B10" s="4">
        <v>25.89</v>
      </c>
      <c r="C10" s="4">
        <v>3.95</v>
      </c>
      <c r="D10" s="4">
        <v>0.91</v>
      </c>
      <c r="E10" s="4">
        <v>24.97</v>
      </c>
      <c r="F10" s="4">
        <v>3.86</v>
      </c>
      <c r="G10" s="4">
        <v>0.92</v>
      </c>
      <c r="H10" s="4">
        <v>23.37</v>
      </c>
      <c r="I10" s="4">
        <v>3.83</v>
      </c>
      <c r="J10" s="8">
        <v>0.92</v>
      </c>
    </row>
    <row r="11" spans="1:10" ht="15.75" thickBot="1" x14ac:dyDescent="0.3">
      <c r="A11" s="12" t="s">
        <v>23</v>
      </c>
      <c r="B11" s="13">
        <v>126.29</v>
      </c>
      <c r="C11" s="13">
        <v>9.93</v>
      </c>
      <c r="D11" s="13">
        <v>0.56000000000000005</v>
      </c>
      <c r="E11" s="13">
        <v>124.05</v>
      </c>
      <c r="F11" s="13">
        <v>9.83</v>
      </c>
      <c r="G11" s="13">
        <v>0.59</v>
      </c>
      <c r="H11" s="13">
        <v>121.82</v>
      </c>
      <c r="I11" s="13">
        <v>9.73</v>
      </c>
      <c r="J11" s="14">
        <v>0.56999999999999995</v>
      </c>
    </row>
  </sheetData>
  <mergeCells count="4">
    <mergeCell ref="A1:A2"/>
    <mergeCell ref="B1:D1"/>
    <mergeCell ref="E1:G1"/>
    <mergeCell ref="H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FE9AC-C180-4BEC-B54D-863F9DDA3837}">
  <dimension ref="A1:O11"/>
  <sheetViews>
    <sheetView workbookViewId="0">
      <selection activeCell="O2" sqref="O2"/>
    </sheetView>
  </sheetViews>
  <sheetFormatPr defaultRowHeight="15" x14ac:dyDescent="0.25"/>
  <cols>
    <col min="1" max="1" width="28.140625" customWidth="1"/>
    <col min="15" max="15" width="52.5703125" customWidth="1"/>
  </cols>
  <sheetData>
    <row r="1" spans="1:15" ht="16.5" customHeight="1" x14ac:dyDescent="0.25">
      <c r="A1" s="1" t="s">
        <v>8</v>
      </c>
      <c r="B1" s="43" t="s">
        <v>9</v>
      </c>
      <c r="C1" s="43"/>
      <c r="D1" s="43"/>
      <c r="E1" s="43" t="s">
        <v>10</v>
      </c>
      <c r="F1" s="43"/>
      <c r="G1" s="43"/>
      <c r="H1" s="43" t="s">
        <v>11</v>
      </c>
      <c r="I1" s="43"/>
      <c r="J1" s="43"/>
    </row>
    <row r="2" spans="1:15" ht="106.5" customHeight="1" x14ac:dyDescent="0.25">
      <c r="A2" s="2"/>
      <c r="B2" s="2" t="s">
        <v>12</v>
      </c>
      <c r="C2" s="2" t="s">
        <v>13</v>
      </c>
      <c r="D2" s="2" t="s">
        <v>14</v>
      </c>
      <c r="E2" s="2" t="s">
        <v>12</v>
      </c>
      <c r="F2" s="2" t="s">
        <v>13</v>
      </c>
      <c r="G2" s="2" t="s">
        <v>14</v>
      </c>
      <c r="H2" s="2" t="s">
        <v>12</v>
      </c>
      <c r="I2" s="2" t="s">
        <v>13</v>
      </c>
      <c r="J2" s="2" t="s">
        <v>14</v>
      </c>
      <c r="O2" s="25" t="s">
        <v>50</v>
      </c>
    </row>
    <row r="3" spans="1:15" ht="16.5" x14ac:dyDescent="0.25">
      <c r="A3" s="2" t="s">
        <v>15</v>
      </c>
      <c r="B3" s="2">
        <v>20.76</v>
      </c>
      <c r="C3" s="2">
        <v>3.64</v>
      </c>
      <c r="D3" s="2">
        <v>0.93</v>
      </c>
      <c r="E3" s="2">
        <v>19.600000000000001</v>
      </c>
      <c r="F3" s="2">
        <v>3.55</v>
      </c>
      <c r="G3" s="2">
        <v>0.93</v>
      </c>
      <c r="H3" s="2">
        <v>22.03</v>
      </c>
      <c r="I3" s="2">
        <v>3.7</v>
      </c>
      <c r="J3" s="2">
        <v>0.93</v>
      </c>
    </row>
    <row r="4" spans="1:15" ht="16.5" x14ac:dyDescent="0.25">
      <c r="A4" s="2" t="s">
        <v>16</v>
      </c>
      <c r="B4" s="2">
        <v>25.49</v>
      </c>
      <c r="C4" s="2">
        <v>4.03</v>
      </c>
      <c r="D4" s="2">
        <v>0.91</v>
      </c>
      <c r="E4" s="2">
        <v>24.18</v>
      </c>
      <c r="F4" s="2">
        <v>3.94</v>
      </c>
      <c r="G4" s="2">
        <v>0.92</v>
      </c>
      <c r="H4" s="2">
        <v>26.86</v>
      </c>
      <c r="I4" s="2">
        <v>4.08</v>
      </c>
      <c r="J4" s="2">
        <v>0.91</v>
      </c>
    </row>
    <row r="5" spans="1:15" ht="66" x14ac:dyDescent="0.25">
      <c r="A5" s="1" t="s">
        <v>17</v>
      </c>
      <c r="B5" s="2">
        <v>0</v>
      </c>
      <c r="C5" s="2">
        <v>0</v>
      </c>
      <c r="D5" s="1">
        <v>1</v>
      </c>
      <c r="E5" s="2">
        <v>20.51</v>
      </c>
      <c r="F5" s="2">
        <v>3.14</v>
      </c>
      <c r="G5" s="2">
        <v>0.93</v>
      </c>
      <c r="H5" s="2">
        <v>21.05</v>
      </c>
      <c r="I5" s="2">
        <v>3.18</v>
      </c>
      <c r="J5" s="2">
        <v>0.93</v>
      </c>
    </row>
    <row r="6" spans="1:15" ht="66" x14ac:dyDescent="0.25">
      <c r="A6" s="1" t="s">
        <v>18</v>
      </c>
      <c r="B6" s="2">
        <v>1.68</v>
      </c>
      <c r="C6" s="2">
        <v>0.92</v>
      </c>
      <c r="D6" s="2">
        <v>0.99</v>
      </c>
      <c r="E6" s="2">
        <v>10.73</v>
      </c>
      <c r="F6" s="2">
        <v>2.36</v>
      </c>
      <c r="G6" s="1">
        <v>0.96</v>
      </c>
      <c r="H6" s="2">
        <v>12.06</v>
      </c>
      <c r="I6" s="2">
        <v>2.52</v>
      </c>
      <c r="J6" s="1">
        <v>0.96</v>
      </c>
    </row>
    <row r="7" spans="1:15" ht="66" x14ac:dyDescent="0.25">
      <c r="A7" s="2" t="s">
        <v>19</v>
      </c>
      <c r="B7" s="2">
        <v>13.47</v>
      </c>
      <c r="C7" s="2">
        <v>2.8</v>
      </c>
      <c r="D7" s="2">
        <v>0.95</v>
      </c>
      <c r="E7" s="2">
        <v>14.25</v>
      </c>
      <c r="F7" s="2">
        <v>2.9</v>
      </c>
      <c r="G7" s="2">
        <v>0.95</v>
      </c>
      <c r="H7" s="2">
        <v>16.43</v>
      </c>
      <c r="I7" s="2">
        <v>3.09</v>
      </c>
      <c r="J7" s="2">
        <v>0.95</v>
      </c>
    </row>
    <row r="8" spans="1:15" ht="49.5" x14ac:dyDescent="0.25">
      <c r="A8" s="2" t="s">
        <v>20</v>
      </c>
      <c r="B8" s="2">
        <v>28.29</v>
      </c>
      <c r="C8" s="2">
        <v>4.26</v>
      </c>
      <c r="D8" s="2">
        <v>0.9</v>
      </c>
      <c r="E8" s="2">
        <v>27.19</v>
      </c>
      <c r="F8" s="2">
        <v>4.1500000000000004</v>
      </c>
      <c r="G8" s="2">
        <v>0.9</v>
      </c>
      <c r="H8" s="2">
        <v>32.53</v>
      </c>
      <c r="I8" s="2">
        <v>4.4400000000000004</v>
      </c>
      <c r="J8" s="2">
        <v>0.89</v>
      </c>
    </row>
    <row r="9" spans="1:15" ht="49.5" x14ac:dyDescent="0.25">
      <c r="A9" s="2" t="s">
        <v>21</v>
      </c>
      <c r="B9" s="2">
        <v>2.4700000000000002</v>
      </c>
      <c r="C9" s="2">
        <v>1.02</v>
      </c>
      <c r="D9" s="2">
        <v>0.99</v>
      </c>
      <c r="E9" s="2">
        <v>11.79</v>
      </c>
      <c r="F9" s="2">
        <v>2.52</v>
      </c>
      <c r="G9" s="2">
        <v>0.96</v>
      </c>
      <c r="H9" s="2">
        <v>13.24</v>
      </c>
      <c r="I9" s="2">
        <v>2.63</v>
      </c>
      <c r="J9" s="2">
        <v>0.96</v>
      </c>
    </row>
    <row r="10" spans="1:15" ht="16.5" x14ac:dyDescent="0.25">
      <c r="A10" s="2" t="s">
        <v>22</v>
      </c>
      <c r="B10" s="2">
        <v>200.95</v>
      </c>
      <c r="C10" s="2">
        <v>11.9</v>
      </c>
      <c r="D10" s="2">
        <v>0.3</v>
      </c>
      <c r="E10" s="2">
        <v>200.63</v>
      </c>
      <c r="F10" s="2">
        <v>11.83</v>
      </c>
      <c r="G10" s="2">
        <v>0.3</v>
      </c>
      <c r="H10" s="2">
        <v>220.77</v>
      </c>
      <c r="I10" s="2">
        <v>12.36</v>
      </c>
      <c r="J10" s="2">
        <v>0.28000000000000003</v>
      </c>
    </row>
    <row r="11" spans="1:15" ht="16.5" x14ac:dyDescent="0.25">
      <c r="A11" s="2" t="s">
        <v>23</v>
      </c>
      <c r="B11" s="2">
        <v>23.44</v>
      </c>
      <c r="C11" s="2">
        <v>3.82</v>
      </c>
      <c r="D11" s="2">
        <v>0.92</v>
      </c>
      <c r="E11" s="2">
        <v>22.22</v>
      </c>
      <c r="F11" s="2">
        <v>3.74</v>
      </c>
      <c r="G11" s="2">
        <v>0.92</v>
      </c>
      <c r="H11" s="2">
        <v>24.15</v>
      </c>
      <c r="I11" s="2">
        <v>3.85</v>
      </c>
      <c r="J11" s="2">
        <v>0.92</v>
      </c>
    </row>
  </sheetData>
  <mergeCells count="3">
    <mergeCell ref="B1:D1"/>
    <mergeCell ref="E1:G1"/>
    <mergeCell ref="H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59E2-66B4-45CC-A98B-89F653ACEE38}">
  <dimension ref="A1:G19"/>
  <sheetViews>
    <sheetView topLeftCell="C1" workbookViewId="0">
      <selection activeCell="E16" sqref="E16:G19"/>
    </sheetView>
  </sheetViews>
  <sheetFormatPr defaultColWidth="34.85546875" defaultRowHeight="15" x14ac:dyDescent="0.25"/>
  <cols>
    <col min="1" max="1" width="2.5703125" bestFit="1" customWidth="1"/>
    <col min="2" max="2" width="27.7109375" bestFit="1" customWidth="1"/>
    <col min="3" max="3" width="21.28515625" bestFit="1" customWidth="1"/>
    <col min="4" max="4" width="21" bestFit="1" customWidth="1"/>
    <col min="6" max="6" width="100.7109375" customWidth="1"/>
  </cols>
  <sheetData>
    <row r="1" spans="1:7" ht="90" x14ac:dyDescent="0.25">
      <c r="F1" s="25" t="s">
        <v>50</v>
      </c>
    </row>
    <row r="2" spans="1:7" ht="16.5" x14ac:dyDescent="0.25">
      <c r="B2" s="34" t="s">
        <v>49</v>
      </c>
      <c r="C2" s="34" t="s">
        <v>39</v>
      </c>
      <c r="D2" s="34" t="s">
        <v>40</v>
      </c>
    </row>
    <row r="3" spans="1:7" ht="16.5" x14ac:dyDescent="0.25">
      <c r="A3" s="34">
        <v>0</v>
      </c>
      <c r="B3" s="35" t="s">
        <v>47</v>
      </c>
      <c r="C3" s="35">
        <v>0.85071099999999999</v>
      </c>
      <c r="D3" s="35">
        <v>0.84849200000000002</v>
      </c>
    </row>
    <row r="4" spans="1:7" ht="16.5" x14ac:dyDescent="0.25">
      <c r="A4" s="34">
        <v>1</v>
      </c>
      <c r="B4" s="35" t="s">
        <v>42</v>
      </c>
      <c r="C4" s="35">
        <v>0.92417099999999996</v>
      </c>
      <c r="D4" s="35">
        <v>0.92442299999999999</v>
      </c>
    </row>
    <row r="5" spans="1:7" ht="16.5" x14ac:dyDescent="0.25">
      <c r="A5" s="34">
        <v>2</v>
      </c>
      <c r="B5" s="35" t="s">
        <v>44</v>
      </c>
      <c r="C5" s="35">
        <v>0.90995300000000001</v>
      </c>
      <c r="D5" s="35">
        <v>0.909223</v>
      </c>
    </row>
    <row r="6" spans="1:7" ht="16.5" x14ac:dyDescent="0.25">
      <c r="A6" s="34">
        <v>3</v>
      </c>
      <c r="B6" s="35" t="s">
        <v>41</v>
      </c>
      <c r="C6" s="35">
        <v>0.92891000000000001</v>
      </c>
      <c r="D6" s="35">
        <v>0.92820199999999997</v>
      </c>
    </row>
    <row r="7" spans="1:7" ht="16.5" x14ac:dyDescent="0.25">
      <c r="A7" s="34">
        <v>4</v>
      </c>
      <c r="B7" s="35" t="s">
        <v>48</v>
      </c>
      <c r="C7" s="35">
        <v>0.32227499999999998</v>
      </c>
      <c r="D7" s="35">
        <v>0.19963400000000001</v>
      </c>
    </row>
    <row r="8" spans="1:7" ht="16.5" x14ac:dyDescent="0.25">
      <c r="A8" s="34">
        <v>5</v>
      </c>
      <c r="B8" s="35" t="s">
        <v>43</v>
      </c>
      <c r="C8" s="35">
        <v>0.919431</v>
      </c>
      <c r="D8" s="35">
        <v>0.91874400000000001</v>
      </c>
    </row>
    <row r="9" spans="1:7" ht="16.5" x14ac:dyDescent="0.25">
      <c r="A9" s="34">
        <v>6</v>
      </c>
      <c r="B9" s="35" t="s">
        <v>46</v>
      </c>
      <c r="C9" s="35">
        <v>0.85545000000000004</v>
      </c>
      <c r="D9" s="35">
        <v>0.855518</v>
      </c>
    </row>
    <row r="10" spans="1:7" ht="16.5" x14ac:dyDescent="0.25">
      <c r="A10" s="34">
        <v>7</v>
      </c>
      <c r="B10" s="35" t="s">
        <v>45</v>
      </c>
      <c r="C10" s="35">
        <v>0.90995300000000001</v>
      </c>
      <c r="D10" s="35">
        <v>0.91030500000000003</v>
      </c>
    </row>
    <row r="16" spans="1:7" ht="30" x14ac:dyDescent="0.25">
      <c r="B16" t="s">
        <v>51</v>
      </c>
      <c r="C16" t="s">
        <v>52</v>
      </c>
      <c r="E16" t="s">
        <v>56</v>
      </c>
      <c r="F16" t="s">
        <v>60</v>
      </c>
      <c r="G16" s="25" t="s">
        <v>61</v>
      </c>
    </row>
    <row r="17" spans="2:7" x14ac:dyDescent="0.25">
      <c r="B17">
        <v>0.97</v>
      </c>
      <c r="C17">
        <v>0.96</v>
      </c>
      <c r="E17" t="s">
        <v>57</v>
      </c>
      <c r="F17" t="s">
        <v>53</v>
      </c>
      <c r="G17" s="36">
        <v>0.97</v>
      </c>
    </row>
    <row r="18" spans="2:7" x14ac:dyDescent="0.25">
      <c r="B18">
        <v>0.96</v>
      </c>
      <c r="C18">
        <v>0.96</v>
      </c>
      <c r="E18" t="s">
        <v>58</v>
      </c>
      <c r="F18" t="s">
        <v>54</v>
      </c>
      <c r="G18" s="36">
        <v>0.96</v>
      </c>
    </row>
    <row r="19" spans="2:7" x14ac:dyDescent="0.25">
      <c r="B19">
        <v>0.95</v>
      </c>
      <c r="C19">
        <v>0.96</v>
      </c>
      <c r="E19" t="s">
        <v>59</v>
      </c>
      <c r="F19" t="s">
        <v>55</v>
      </c>
      <c r="G19" s="36">
        <v>0.95</v>
      </c>
    </row>
  </sheetData>
  <sortState xmlns:xlrd2="http://schemas.microsoft.com/office/spreadsheetml/2017/richdata2" ref="A3:D10">
    <sortCondition ref="A9:A1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Romero Olvera</dc:creator>
  <cp:lastModifiedBy>Israel Romero Olvera</cp:lastModifiedBy>
  <dcterms:created xsi:type="dcterms:W3CDTF">2024-10-08T05:40:09Z</dcterms:created>
  <dcterms:modified xsi:type="dcterms:W3CDTF">2025-11-29T01:44:22Z</dcterms:modified>
</cp:coreProperties>
</file>