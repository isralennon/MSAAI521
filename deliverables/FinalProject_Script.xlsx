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d.docs.live.net/e00cfaf0f80ab21d/Documentos/GitHub/MSAAI531/MSAAI521/deliverables/"/>
    </mc:Choice>
  </mc:AlternateContent>
  <xr:revisionPtr revIDLastSave="101" documentId="8_{0B7E1449-FF0E-4D62-A6C9-02AF432541A0}" xr6:coauthVersionLast="47" xr6:coauthVersionMax="47" xr10:uidLastSave="{BC70C14B-9201-47C9-B364-222BEED0FDC3}"/>
  <bookViews>
    <workbookView xWindow="-105" yWindow="0" windowWidth="29010" windowHeight="31785" xr2:uid="{A340C242-620C-4844-A740-5AAB798F6EF1}"/>
  </bookViews>
  <sheets>
    <sheet name="Sheet1" sheetId="1" r:id="rId1"/>
    <sheet name="Sheet3" sheetId="3" r:id="rId2"/>
    <sheet name="Sheet2" sheetId="2" r:id="rId3"/>
    <sheet name="Sheet4"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1" l="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5" i="1"/>
  <c r="A4" i="1"/>
  <c r="N13" i="1"/>
  <c r="N14" i="1" s="1"/>
  <c r="N12" i="1"/>
  <c r="P2" i="1"/>
  <c r="R2" i="1" s="1"/>
  <c r="F35" i="1"/>
  <c r="G35" i="1" s="1"/>
  <c r="F34" i="1"/>
  <c r="G34" i="1" s="1"/>
  <c r="F33" i="1"/>
  <c r="F32" i="1"/>
  <c r="G32" i="1" s="1"/>
  <c r="F27" i="1"/>
  <c r="F23" i="1"/>
  <c r="G23" i="1" s="1"/>
  <c r="F7" i="1"/>
  <c r="F5" i="1"/>
  <c r="G33" i="1"/>
  <c r="G27" i="1"/>
  <c r="G11" i="1"/>
  <c r="G10" i="1"/>
  <c r="G7" i="1"/>
  <c r="G5" i="1"/>
  <c r="G3" i="1"/>
  <c r="H3" i="1" s="1"/>
  <c r="F3" i="1"/>
  <c r="E35" i="1"/>
  <c r="E34" i="1"/>
  <c r="E33" i="1"/>
  <c r="E32" i="1"/>
  <c r="E31" i="1"/>
  <c r="F31" i="1" s="1"/>
  <c r="G31" i="1" s="1"/>
  <c r="E30" i="1"/>
  <c r="F30" i="1" s="1"/>
  <c r="G30" i="1" s="1"/>
  <c r="E29" i="1"/>
  <c r="F29" i="1" s="1"/>
  <c r="G29" i="1" s="1"/>
  <c r="E28" i="1"/>
  <c r="F28" i="1" s="1"/>
  <c r="G28" i="1" s="1"/>
  <c r="E27" i="1"/>
  <c r="E26" i="1"/>
  <c r="F26" i="1" s="1"/>
  <c r="G26" i="1" s="1"/>
  <c r="E25" i="1"/>
  <c r="F25" i="1" s="1"/>
  <c r="G25" i="1" s="1"/>
  <c r="E24" i="1"/>
  <c r="F24" i="1" s="1"/>
  <c r="G24" i="1" s="1"/>
  <c r="E23" i="1"/>
  <c r="E22" i="1"/>
  <c r="F22" i="1" s="1"/>
  <c r="G22" i="1" s="1"/>
  <c r="E21" i="1"/>
  <c r="F21" i="1" s="1"/>
  <c r="G21" i="1" s="1"/>
  <c r="E20" i="1"/>
  <c r="F20" i="1" s="1"/>
  <c r="G20" i="1" s="1"/>
  <c r="E19" i="1"/>
  <c r="F19" i="1" s="1"/>
  <c r="G19" i="1" s="1"/>
  <c r="E18" i="1"/>
  <c r="F18" i="1" s="1"/>
  <c r="G18" i="1" s="1"/>
  <c r="E17" i="1"/>
  <c r="F17" i="1" s="1"/>
  <c r="G17" i="1" s="1"/>
  <c r="E16" i="1"/>
  <c r="F16" i="1" s="1"/>
  <c r="G16" i="1" s="1"/>
  <c r="E15" i="1"/>
  <c r="F15" i="1" s="1"/>
  <c r="G15" i="1" s="1"/>
  <c r="E14" i="1"/>
  <c r="F14" i="1" s="1"/>
  <c r="G14" i="1" s="1"/>
  <c r="E13" i="1"/>
  <c r="F13" i="1" s="1"/>
  <c r="G13" i="1" s="1"/>
  <c r="E12" i="1"/>
  <c r="F12" i="1" s="1"/>
  <c r="G12" i="1" s="1"/>
  <c r="E11" i="1"/>
  <c r="F11" i="1" s="1"/>
  <c r="E10" i="1"/>
  <c r="F10" i="1" s="1"/>
  <c r="E9" i="1"/>
  <c r="F9" i="1" s="1"/>
  <c r="G9" i="1" s="1"/>
  <c r="E8" i="1"/>
  <c r="F8" i="1" s="1"/>
  <c r="G8" i="1" s="1"/>
  <c r="E7" i="1"/>
  <c r="E6" i="1"/>
  <c r="F6" i="1" s="1"/>
  <c r="G6" i="1" s="1"/>
  <c r="E5" i="1"/>
  <c r="E4" i="1"/>
  <c r="F4" i="1" s="1"/>
  <c r="G4" i="1" s="1"/>
  <c r="E3" i="1"/>
  <c r="M1" i="1" l="1"/>
  <c r="H4" i="1"/>
  <c r="H5" i="1" s="1"/>
  <c r="H6" i="1" s="1"/>
  <c r="H7" i="1" s="1"/>
  <c r="H8" i="1" s="1"/>
  <c r="H9" i="1" s="1"/>
  <c r="H10" i="1" s="1"/>
  <c r="H11" i="1" s="1"/>
  <c r="H12" i="1" s="1"/>
  <c r="H13" i="1" s="1"/>
  <c r="H14" i="1" s="1"/>
  <c r="H15" i="1" s="1"/>
  <c r="H16" i="1" s="1"/>
  <c r="H17" i="1" s="1"/>
  <c r="O8" i="1"/>
  <c r="O7" i="1"/>
  <c r="H18" i="1" l="1"/>
  <c r="H19" i="1" s="1"/>
  <c r="H20" i="1" s="1"/>
  <c r="H21" i="1" s="1"/>
  <c r="H22" i="1" s="1"/>
  <c r="H23" i="1" s="1"/>
  <c r="H24" i="1" s="1"/>
  <c r="H25" i="1" s="1"/>
  <c r="H26" i="1" s="1"/>
  <c r="H27" i="1" s="1"/>
  <c r="H28" i="1" s="1"/>
  <c r="H29" i="1" s="1"/>
  <c r="H30" i="1" s="1"/>
  <c r="H31" i="1" s="1"/>
  <c r="H32" i="1" s="1"/>
  <c r="H33" i="1" s="1"/>
  <c r="H34" i="1" s="1"/>
  <c r="H35" i="1" s="1"/>
  <c r="O9" i="1"/>
  <c r="I4" i="1"/>
  <c r="J4" i="1" s="1"/>
  <c r="I3" i="1"/>
  <c r="J3" i="1" s="1"/>
  <c r="I5" i="1" l="1"/>
  <c r="J5" i="1" s="1"/>
  <c r="I6" i="1" l="1"/>
  <c r="J6" i="1" s="1"/>
  <c r="I7" i="1" l="1"/>
  <c r="J7" i="1" s="1"/>
  <c r="I8" i="1" l="1"/>
  <c r="J8" i="1" s="1"/>
  <c r="I9" i="1" l="1"/>
  <c r="J9" i="1" s="1"/>
  <c r="I10" i="1" l="1"/>
  <c r="J10" i="1" s="1"/>
  <c r="I11" i="1" l="1"/>
  <c r="J11" i="1" s="1"/>
  <c r="I12" i="1" l="1"/>
  <c r="J12" i="1" s="1"/>
  <c r="I13" i="1" l="1"/>
  <c r="J13" i="1" s="1"/>
  <c r="I14" i="1" l="1"/>
  <c r="J14" i="1" s="1"/>
  <c r="I15" i="1" l="1"/>
  <c r="J15" i="1" s="1"/>
  <c r="I16" i="1" l="1"/>
  <c r="J16" i="1" s="1"/>
  <c r="I17" i="1" l="1"/>
  <c r="J17" i="1" s="1"/>
  <c r="I18" i="1" l="1"/>
  <c r="J18" i="1" s="1"/>
  <c r="I19" i="1" l="1"/>
  <c r="J19" i="1" s="1"/>
  <c r="I20" i="1" l="1"/>
  <c r="J20" i="1" s="1"/>
  <c r="I21" i="1" l="1"/>
  <c r="J21" i="1" s="1"/>
  <c r="I22" i="1" l="1"/>
  <c r="J22" i="1" s="1"/>
  <c r="I23" i="1" l="1"/>
  <c r="J23" i="1" s="1"/>
  <c r="I24" i="1" l="1"/>
  <c r="J24" i="1" s="1"/>
  <c r="I25" i="1" l="1"/>
  <c r="J25" i="1" s="1"/>
  <c r="I26" i="1" l="1"/>
  <c r="J26" i="1" s="1"/>
  <c r="I27" i="1" l="1"/>
  <c r="J27" i="1" s="1"/>
  <c r="I28" i="1" l="1"/>
  <c r="J28" i="1" s="1"/>
  <c r="I29" i="1" l="1"/>
  <c r="J29" i="1" s="1"/>
  <c r="I30" i="1" l="1"/>
  <c r="J30" i="1" s="1"/>
  <c r="I31" i="1" l="1"/>
  <c r="J31" i="1" s="1"/>
  <c r="I32" i="1" l="1"/>
  <c r="J32" i="1" s="1"/>
  <c r="I33" i="1" l="1"/>
  <c r="J33" i="1" s="1"/>
  <c r="I35" i="1" l="1"/>
  <c r="J35" i="1" s="1"/>
  <c r="I34" i="1"/>
  <c r="J34" i="1" s="1"/>
  <c r="E1" i="1"/>
  <c r="P1" i="1" l="1"/>
  <c r="R1" i="1" s="1"/>
  <c r="G1" i="1"/>
  <c r="I1" i="1"/>
</calcChain>
</file>

<file path=xl/sharedStrings.xml><?xml version="1.0" encoding="utf-8"?>
<sst xmlns="http://schemas.openxmlformats.org/spreadsheetml/2006/main" count="130" uniqueCount="83">
  <si>
    <t>Person</t>
  </si>
  <si>
    <t>Script</t>
  </si>
  <si>
    <t>TITLE CARD: USD - MS AAI</t>
  </si>
  <si>
    <t>Israel</t>
  </si>
  <si>
    <t>Total Duration</t>
  </si>
  <si>
    <t>Min</t>
  </si>
  <si>
    <t>Sec</t>
  </si>
  <si>
    <t>Cumul.</t>
  </si>
  <si>
    <t>Model</t>
  </si>
  <si>
    <t>Train</t>
  </si>
  <si>
    <t>Test</t>
  </si>
  <si>
    <t>Validation</t>
  </si>
  <si>
    <t>MSE</t>
  </si>
  <si>
    <t>MAE</t>
  </si>
  <si>
    <t>R2</t>
  </si>
  <si>
    <t>LinearRegression</t>
  </si>
  <si>
    <t>OLS</t>
  </si>
  <si>
    <t>DecisionTreeRegressor</t>
  </si>
  <si>
    <t>RandomForestRegressor</t>
  </si>
  <si>
    <t>GradientBoostingRegressor</t>
  </si>
  <si>
    <t>AdaBoostRegressor</t>
  </si>
  <si>
    <t>BaggingRegressor</t>
  </si>
  <si>
    <t>SVR</t>
  </si>
  <si>
    <t>MLPRegressor</t>
  </si>
  <si>
    <t>Models</t>
  </si>
  <si>
    <t>Linear Regression</t>
  </si>
  <si>
    <t>Decision Tree Regressor</t>
  </si>
  <si>
    <t>Random Forest Regressor</t>
  </si>
  <si>
    <t>Gradient Boosting Regressor</t>
  </si>
  <si>
    <t>Ada Boost Regressor</t>
  </si>
  <si>
    <r>
      <t>R</t>
    </r>
    <r>
      <rPr>
        <vertAlign val="superscript"/>
        <sz val="11"/>
        <color theme="0"/>
        <rFont val="Calibri"/>
        <family val="2"/>
      </rPr>
      <t>2</t>
    </r>
  </si>
  <si>
    <t>Word Count</t>
  </si>
  <si>
    <t>Avg Word Duration</t>
  </si>
  <si>
    <t>Calc Duration</t>
  </si>
  <si>
    <t>Manual Duration</t>
  </si>
  <si>
    <t>Considered Duration</t>
  </si>
  <si>
    <t>Target</t>
  </si>
  <si>
    <t>TITLE CARD: CONCLUSION</t>
  </si>
  <si>
    <t>Credits</t>
  </si>
  <si>
    <t>Num</t>
  </si>
  <si>
    <t>Validation Accuracy</t>
  </si>
  <si>
    <t>Validation F1-Score</t>
  </si>
  <si>
    <t>Gradient Boosting Classifier</t>
  </si>
  <si>
    <t>Random Forest</t>
  </si>
  <si>
    <t>Bagging Classifier</t>
  </si>
  <si>
    <t>Decision Tree Classifier</t>
  </si>
  <si>
    <t>MLP Classifier</t>
  </si>
  <si>
    <t>SVC</t>
  </si>
  <si>
    <t>Logistic Regression</t>
  </si>
  <si>
    <t>AdaBoost Classifier</t>
  </si>
  <si>
    <t>CANDIDATE MODELS</t>
  </si>
  <si>
    <t>Logistic Regression, Random Forest Classifier, Decision Tree Classifier, Gradient Boosting Classifier, AdaBoost Classifier, Baggin Classifier, SVC, and MLP Classifier. At this point, we passed ALL variables into all these models, and we compared the results of the Training and Validation sets. To evaluate their performance, we used 2 metrics: the Accuracy Score, which describes how well a model compares to the true classification, and the F1 score which also penalizes false positive and false negative errors, especially helpful with sensitive medical results.</t>
  </si>
  <si>
    <t>ValidationAccuracy</t>
  </si>
  <si>
    <t>TestAccuracy</t>
  </si>
  <si>
    <t>'Height','Weight','FAVC','CH2O','TUE'</t>
  </si>
  <si>
    <t>'Gender','Height','Weight'</t>
  </si>
  <si>
    <t>'Height','Weight'</t>
  </si>
  <si>
    <t>Label</t>
  </si>
  <si>
    <t>Combination 1</t>
  </si>
  <si>
    <t>Combination 2</t>
  </si>
  <si>
    <t>Combination 3</t>
  </si>
  <si>
    <t>Features</t>
  </si>
  <si>
    <t>Accuracy Score
(Validation Set)</t>
  </si>
  <si>
    <t>Santosh</t>
  </si>
  <si>
    <t>Max</t>
  </si>
  <si>
    <t>TITLE CARD: AAI-521- Applied Computer Vision for AI</t>
  </si>
  <si>
    <t>TITLE CARD: Professor Roozbeh Sadeghian, Ph.D</t>
  </si>
  <si>
    <t>TITLE CARD: Real-Time Object Detection System Using LiDAR</t>
  </si>
  <si>
    <t>TITLE CARD: TEAM 2 PRESENTS.</t>
  </si>
  <si>
    <t>However, processing 3D point clouds for object detection traditionally requires specialized architectures like PointPillars or CenterPoint, which are computationally expensive and complex to train. This presents a challenge especially when trying to build a portable system for a self-driving vehicle.</t>
  </si>
  <si>
    <t>Current LiDAR detection systems, like PointPillars or CenterPoint, process the LiDAR information in 3D, which results in a very high accuracy but also requires a significant amount of processing, raising the cost of self-driving vehicles.</t>
  </si>
  <si>
    <t>Other self-driving systems use camera information, which comes with the obvious challenges of poor visibility conditions, but also other more subtle challenges like perspective: as objects get further away, their size appears smaller in the lens of the camera. Scale then becomes a factor in object detection that can affect the predicted outcome.
LiDAR performs particularly well in poor visibility conditions, and due to its radar-like response operation, objects sizes don't get distorted with the distance, which reduces the complexity in training and real-time processing.</t>
  </si>
  <si>
    <t>TITLE CARD: Data Exploration</t>
  </si>
  <si>
    <t>I'm Santosh Kumar, and I'm convinced that these computer vision challenges can be solved for autonomous driving, bringing the costs significantly down and facilitating a worldwide adoption much faster.</t>
  </si>
  <si>
    <t>In 1981 there was a famous TV show about a self-driving car with artificial intelligence, capable of talking, among other futuristic features that didn't exist at the time, like video calls or wireless access to databases - all before the Internet was even a thing. It was science fiction at the time and nothing more, and it seemed unreachable until a very distant future.
But today we're living in that remote future, and many of those features that captured our imagination are now a tangible reality, like the devices that can talk back to you, 24/7 wireless online connectivity, video calls, and of course: self-driving cars.</t>
  </si>
  <si>
    <t>While only a handful of brands have offered fully autonomous vehicles out to the public, it's no longer fiction, and in many cities around the world, like San Francisco, anyone can ride on a self-driving car today. It's just a matter of time before the technology gets fully adopted. But before that happens, there are still many challenges to solve, from safety regulations to cost and technical limitations. In this video, we'll focus only on one of those technical limitations.</t>
  </si>
  <si>
    <t xml:space="preserve">Autonomous vehicles require real-time environment perception to detect and track surrounding objects accurately. The perception system must function reliably across varying lighting conditions, weather, and complex urban environments. Camera-based detectors are the most commonly used technology, but while they are computationally efficient, they face limitations in poor lighting conditions and lack direct depth information. </t>
  </si>
  <si>
    <t>LiDAR sensors overcome these limitations by providing accurate 3D measurements regardless of lighting conditions, as they work by sending short laser pulses of near-infrared light that can easily penetrate fog, snow, or rain, while being invisible to the human eye. After emitting the pulses, the LiDAR measures the time it takes for the light pulses to bounce back in surrounding structures, then it uses the speed of light to calculate the distance between the vehicle and those surrounding objects. We call these data measurements "point clouds".</t>
  </si>
  <si>
    <t>I'm Israel Romero, and I can visualize a near future where most vehicles are self-driving, reducing accidents, making DUIs a thing of the past, and potentially even elliminating traffic jams.</t>
  </si>
  <si>
    <t>And I'm Maxime Boulat. Together we'll show you how converting 3D Lidar information into 2D Bird's-Eye View images can help detect vehicles, pedestrians, and cyclists with high accuracy by using an already proven and computationally lighter methodology.</t>
  </si>
  <si>
    <t>We utilize the nuScenes dataset, a large-scale autonomous driving dataset collected by Motional and nuTonomy. This dataset was acquired with real driving, collected in Boston and Singapore under diverse driving conditions and over one thousand carefully planned driving scenes of about twenty seconds each. 
The dataset provides multi-sensor data including LiDAR, RADAR, cameras, GPS, and IMU, all these mounted in the driving vehicles, allowing the capture of cars, trucks, pedestrians, cyclists, and other nearby objects (stating and in-motion) from the perspectives of all the available instruments
In this project we will use only on the LiDAR portion of the dataset for training the YOLO model, but we will use the rest of the data to perform validations.</t>
  </si>
  <si>
    <t>NuScenes provides a small version of the dataset, called "nuScenes-panoptic-mini" that contains only 10 scenes, which we used to setup our algorithms. Later on, we downloaded and used the full set for training and testing our methodology.
We found that each 20-second scene is composed of 404 samples, each one being a snapshot from all sensors captured at 2 Hz, so 2 snapshots of each of the 6 sensors every second. Later on, the team manually entered annotations for the objects on each scene.
Annotations contain a 3D bounding box describing the class of each object (pedestrian, cyclist, truck, car...), as well as other physical position features like translation, size, and rotation.</t>
  </si>
  <si>
    <t xml:space="preserve">TITLE CARD: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</si>
</sst>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x14ac:knownFonts="1">
    <font>
      <sz val="11"/>
      <color theme="1"/>
      <name val="Aptos Narrow"/>
      <family val="2"/>
      <scheme val="minor"/>
    </font>
    <font>
      <sz val="12"/>
      <color theme="1"/>
      <name val="Aptos"/>
      <family val="2"/>
    </font>
    <font>
      <b/>
      <sz val="12"/>
      <color theme="1"/>
      <name val="Aptos"/>
      <family val="2"/>
    </font>
    <font>
      <b/>
      <sz val="11"/>
      <color theme="1"/>
      <name val="Segoe UI"/>
      <family val="2"/>
    </font>
    <font>
      <sz val="11"/>
      <color theme="1"/>
      <name val="Segoe UI"/>
      <family val="2"/>
    </font>
    <font>
      <sz val="11"/>
      <color rgb="FFFF0000"/>
      <name val="Aptos Narrow"/>
      <family val="2"/>
      <scheme val="minor"/>
    </font>
    <font>
      <b/>
      <sz val="8"/>
      <color theme="1"/>
      <name val="Calibri"/>
      <family val="2"/>
    </font>
    <font>
      <sz val="8"/>
      <color theme="1"/>
      <name val="Calibri"/>
      <family val="2"/>
    </font>
    <font>
      <b/>
      <sz val="11"/>
      <color theme="0"/>
      <name val="Calibri"/>
      <family val="2"/>
    </font>
    <font>
      <sz val="11"/>
      <color theme="0"/>
      <name val="Calibri"/>
      <family val="2"/>
    </font>
    <font>
      <vertAlign val="superscript"/>
      <sz val="11"/>
      <color theme="0"/>
      <name val="Calibri"/>
      <family val="2"/>
    </font>
    <font>
      <sz val="12"/>
      <color rgb="FF000000"/>
      <name val="Aptos"/>
      <family val="2"/>
    </font>
    <font>
      <sz val="11"/>
      <color theme="1"/>
      <name val="Aptos Narrow"/>
      <family val="2"/>
      <scheme val="minor"/>
    </font>
    <font>
      <b/>
      <sz val="11"/>
      <color theme="1"/>
      <name val="Aptos Narrow"/>
      <family val="2"/>
      <scheme val="minor"/>
    </font>
    <font>
      <b/>
      <sz val="10"/>
      <color theme="1"/>
      <name val="Aptos"/>
      <family val="2"/>
    </font>
  </fonts>
  <fills count="9">
    <fill>
      <patternFill patternType="none"/>
    </fill>
    <fill>
      <patternFill patternType="gray125"/>
    </fill>
    <fill>
      <patternFill patternType="solid">
        <fgColor rgb="FF00B050"/>
        <bgColor indexed="64"/>
      </patternFill>
    </fill>
    <fill>
      <patternFill patternType="solid">
        <fgColor rgb="FFFFC000"/>
        <bgColor indexed="64"/>
      </patternFill>
    </fill>
    <fill>
      <patternFill patternType="solid">
        <fgColor rgb="FF0070C0"/>
        <bgColor indexed="64"/>
      </patternFill>
    </fill>
    <fill>
      <patternFill patternType="solid">
        <fgColor rgb="FFFFFFFF"/>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rgb="FFFFFF00"/>
        <bgColor indexed="64"/>
      </patternFill>
    </fill>
  </fills>
  <borders count="16">
    <border>
      <left/>
      <right/>
      <top/>
      <bottom/>
      <diagonal/>
    </border>
    <border>
      <left/>
      <right style="medium">
        <color rgb="FF000000"/>
      </right>
      <top/>
      <bottom/>
      <diagonal/>
    </border>
    <border>
      <left style="thin">
        <color indexed="64"/>
      </left>
      <right style="thin">
        <color indexed="64"/>
      </right>
      <top style="thin">
        <color indexed="64"/>
      </top>
      <bottom style="thin">
        <color indexed="64"/>
      </bottom>
      <diagonal/>
    </border>
    <border>
      <left style="medium">
        <color indexed="64"/>
      </left>
      <right style="medium">
        <color rgb="FF000000"/>
      </right>
      <top style="medium">
        <color indexed="64"/>
      </top>
      <bottom/>
      <diagonal/>
    </border>
    <border>
      <left style="medium">
        <color rgb="FF000000"/>
      </left>
      <right/>
      <top style="medium">
        <color indexed="64"/>
      </top>
      <bottom style="medium">
        <color rgb="FF000000"/>
      </bottom>
      <diagonal/>
    </border>
    <border>
      <left/>
      <right/>
      <top style="medium">
        <color indexed="64"/>
      </top>
      <bottom style="medium">
        <color rgb="FF000000"/>
      </bottom>
      <diagonal/>
    </border>
    <border>
      <left/>
      <right style="medium">
        <color rgb="FF000000"/>
      </right>
      <top style="medium">
        <color indexed="64"/>
      </top>
      <bottom style="medium">
        <color rgb="FF000000"/>
      </bottom>
      <diagonal/>
    </border>
    <border>
      <left/>
      <right style="medium">
        <color indexed="64"/>
      </right>
      <top style="medium">
        <color indexed="64"/>
      </top>
      <bottom style="medium">
        <color rgb="FF000000"/>
      </bottom>
      <diagonal/>
    </border>
    <border>
      <left style="medium">
        <color indexed="64"/>
      </left>
      <right style="medium">
        <color rgb="FF000000"/>
      </right>
      <top/>
      <bottom/>
      <diagonal/>
    </border>
    <border>
      <left/>
      <right style="medium">
        <color indexed="64"/>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9" fontId="12" fillId="0" borderId="0" applyFont="0" applyFill="0" applyBorder="0" applyAlignment="0" applyProtection="0"/>
  </cellStyleXfs>
  <cellXfs count="45">
    <xf numFmtId="0" fontId="0" fillId="0" borderId="0" xfId="0"/>
    <xf numFmtId="0" fontId="3" fillId="5" borderId="0" xfId="0" applyFont="1" applyFill="1" applyAlignment="1">
      <alignment vertical="center" wrapText="1"/>
    </xf>
    <xf numFmtId="0" fontId="4" fillId="5" borderId="0" xfId="0" applyFont="1" applyFill="1" applyAlignment="1">
      <alignment vertical="center" wrapText="1"/>
    </xf>
    <xf numFmtId="0" fontId="9" fillId="6" borderId="1" xfId="0" applyFont="1" applyFill="1" applyBorder="1" applyAlignment="1">
      <alignment horizontal="center" vertical="center" wrapText="1"/>
    </xf>
    <xf numFmtId="0" fontId="7" fillId="0" borderId="2" xfId="0" applyFont="1" applyBorder="1" applyAlignment="1">
      <alignment horizontal="left" vertical="center" wrapText="1" indent="1"/>
    </xf>
    <xf numFmtId="0" fontId="6" fillId="0" borderId="2" xfId="0" applyFont="1" applyBorder="1" applyAlignment="1">
      <alignment horizontal="left" vertical="center" wrapText="1" indent="1"/>
    </xf>
    <xf numFmtId="0" fontId="9" fillId="6" borderId="9" xfId="0" applyFont="1" applyFill="1" applyBorder="1" applyAlignment="1">
      <alignment horizontal="center" vertical="center" wrapText="1"/>
    </xf>
    <xf numFmtId="0" fontId="6" fillId="7" borderId="10" xfId="0" applyFont="1" applyFill="1" applyBorder="1" applyAlignment="1">
      <alignment vertical="center" wrapText="1"/>
    </xf>
    <xf numFmtId="0" fontId="7" fillId="0" borderId="11" xfId="0" applyFont="1" applyBorder="1" applyAlignment="1">
      <alignment horizontal="left" vertical="center" wrapText="1" indent="1"/>
    </xf>
    <xf numFmtId="0" fontId="7" fillId="7" borderId="10" xfId="0" applyFont="1" applyFill="1" applyBorder="1" applyAlignment="1">
      <alignment horizontal="left" vertical="center" wrapText="1" indent="1"/>
    </xf>
    <xf numFmtId="0" fontId="6" fillId="7" borderId="10" xfId="0" applyFont="1" applyFill="1" applyBorder="1" applyAlignment="1">
      <alignment horizontal="left" vertical="center" wrapText="1" indent="1"/>
    </xf>
    <xf numFmtId="0" fontId="6" fillId="0" borderId="11" xfId="0" applyFont="1" applyBorder="1" applyAlignment="1">
      <alignment horizontal="left" vertical="center" wrapText="1" indent="1"/>
    </xf>
    <xf numFmtId="0" fontId="7" fillId="7" borderId="12" xfId="0" applyFont="1" applyFill="1" applyBorder="1" applyAlignment="1">
      <alignment horizontal="left" vertical="center" wrapText="1" indent="1"/>
    </xf>
    <xf numFmtId="0" fontId="7" fillId="0" borderId="13" xfId="0" applyFont="1" applyBorder="1" applyAlignment="1">
      <alignment horizontal="left" vertical="center" wrapText="1" indent="1"/>
    </xf>
    <xf numFmtId="0" fontId="7" fillId="0" borderId="14" xfId="0" applyFont="1" applyBorder="1" applyAlignment="1">
      <alignment horizontal="left" vertical="center" wrapText="1" indent="1"/>
    </xf>
    <xf numFmtId="0" fontId="2" fillId="0" borderId="0" xfId="0" applyFont="1" applyAlignment="1">
      <alignment vertical="center" wrapText="1"/>
    </xf>
    <xf numFmtId="0" fontId="11" fillId="0" borderId="0" xfId="0" applyFont="1" applyAlignment="1">
      <alignment horizontal="center" vertical="center" wrapText="1"/>
    </xf>
    <xf numFmtId="0" fontId="1" fillId="0" borderId="0" xfId="0" applyFont="1" applyAlignment="1">
      <alignment vertical="center" wrapText="1"/>
    </xf>
    <xf numFmtId="0" fontId="11" fillId="2" borderId="0" xfId="0" applyFont="1" applyFill="1" applyAlignment="1">
      <alignment vertical="center" wrapText="1"/>
    </xf>
    <xf numFmtId="0" fontId="11" fillId="3" borderId="0" xfId="0" applyFont="1" applyFill="1" applyAlignment="1">
      <alignment vertical="center" wrapText="1"/>
    </xf>
    <xf numFmtId="0" fontId="11" fillId="4" borderId="0" xfId="0" applyFont="1" applyFill="1" applyAlignment="1">
      <alignment vertical="center" wrapText="1"/>
    </xf>
    <xf numFmtId="0" fontId="5" fillId="0" borderId="0" xfId="0" applyFont="1"/>
    <xf numFmtId="0" fontId="11" fillId="2" borderId="15" xfId="0" applyFont="1" applyFill="1" applyBorder="1" applyAlignment="1">
      <alignment vertical="center" wrapText="1"/>
    </xf>
    <xf numFmtId="0" fontId="11" fillId="3" borderId="15" xfId="0" applyFont="1" applyFill="1" applyBorder="1" applyAlignment="1">
      <alignment vertical="center" wrapText="1"/>
    </xf>
    <xf numFmtId="0" fontId="11" fillId="4" borderId="15" xfId="0" applyFont="1" applyFill="1" applyBorder="1" applyAlignment="1">
      <alignment vertical="center" wrapText="1"/>
    </xf>
    <xf numFmtId="0" fontId="0" fillId="0" borderId="0" xfId="0" applyAlignment="1">
      <alignment wrapText="1"/>
    </xf>
    <xf numFmtId="0" fontId="14" fillId="0" borderId="0" xfId="0" applyFont="1" applyAlignment="1">
      <alignment vertical="center" wrapText="1"/>
    </xf>
    <xf numFmtId="164" fontId="0" fillId="0" borderId="0" xfId="1" applyNumberFormat="1" applyFont="1" applyAlignment="1">
      <alignment vertical="center"/>
    </xf>
    <xf numFmtId="0" fontId="0" fillId="8" borderId="0" xfId="0" applyFill="1" applyAlignment="1">
      <alignment vertical="center"/>
    </xf>
    <xf numFmtId="0" fontId="13" fillId="0" borderId="0" xfId="0" applyFont="1" applyAlignment="1">
      <alignment vertical="center"/>
    </xf>
    <xf numFmtId="0" fontId="0" fillId="0" borderId="0" xfId="0" applyAlignment="1">
      <alignment vertical="center"/>
    </xf>
    <xf numFmtId="0" fontId="1" fillId="0" borderId="0" xfId="0" applyFont="1" applyAlignment="1">
      <alignment horizontal="center" vertical="center" wrapText="1"/>
    </xf>
    <xf numFmtId="0" fontId="0" fillId="0" borderId="0" xfId="0" applyAlignment="1">
      <alignment horizontal="center" vertical="center"/>
    </xf>
    <xf numFmtId="0" fontId="5" fillId="0" borderId="0" xfId="0" applyFont="1" applyAlignment="1">
      <alignment horizontal="center" vertical="center"/>
    </xf>
    <xf numFmtId="9" fontId="0" fillId="0" borderId="0" xfId="1" applyFont="1" applyAlignment="1">
      <alignment wrapText="1"/>
    </xf>
    <xf numFmtId="0" fontId="3" fillId="5" borderId="0" xfId="0" applyFont="1" applyFill="1" applyAlignment="1">
      <alignment horizontal="right" vertical="center" wrapText="1"/>
    </xf>
    <xf numFmtId="0" fontId="4" fillId="5" borderId="0" xfId="0" applyFont="1" applyFill="1" applyAlignment="1">
      <alignment horizontal="right" vertical="center" wrapText="1"/>
    </xf>
    <xf numFmtId="9" fontId="0" fillId="0" borderId="0" xfId="1" applyFont="1"/>
    <xf numFmtId="0" fontId="8" fillId="6" borderId="3" xfId="0" applyFont="1" applyFill="1" applyBorder="1" applyAlignment="1">
      <alignment horizontal="center" vertical="center" wrapText="1"/>
    </xf>
    <xf numFmtId="0" fontId="8" fillId="6" borderId="8" xfId="0" applyFont="1" applyFill="1" applyBorder="1" applyAlignment="1">
      <alignment horizontal="center" vertical="center" wrapText="1"/>
    </xf>
    <xf numFmtId="0" fontId="8" fillId="6" borderId="4"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6" borderId="6" xfId="0" applyFont="1" applyFill="1" applyBorder="1" applyAlignment="1">
      <alignment horizontal="center" vertical="center" wrapText="1"/>
    </xf>
    <xf numFmtId="0" fontId="8" fillId="6" borderId="7" xfId="0" applyFont="1" applyFill="1" applyBorder="1" applyAlignment="1">
      <alignment horizontal="center" vertical="center" wrapText="1"/>
    </xf>
    <xf numFmtId="0" fontId="3" fillId="5" borderId="0" xfId="0" applyFont="1" applyFill="1" applyAlignment="1">
      <alignment vertical="center" wrapText="1"/>
    </xf>
  </cellXfs>
  <cellStyles count="2">
    <cellStyle name="Normal" xfId="0" builtinId="0"/>
    <cellStyle name="Percent" xfId="1" builtinId="5"/>
  </cellStyles>
  <dxfs count="8">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2"/>
        <color theme="1"/>
        <name val="Aptos"/>
        <family val="2"/>
        <scheme val="none"/>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2"/>
        <color theme="1"/>
        <name val="Aptos"/>
        <family val="2"/>
        <scheme val="none"/>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2"/>
        <color theme="1"/>
        <name val="Aptos"/>
        <family val="2"/>
        <scheme val="none"/>
      </font>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indent="0" justifyLastLine="0" shrinkToFit="0" readingOrder="0"/>
    </dxf>
    <dxf>
      <alignment horizontal="general"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9C5BCE-31A9-483B-8988-22B44E1F2D25}" name="Table1" displayName="Table1" ref="B2:J35" totalsRowShown="0" headerRowDxfId="7">
  <autoFilter ref="B2:J35" xr:uid="{349C5BCE-31A9-483B-8988-22B44E1F2D25}"/>
  <tableColumns count="9">
    <tableColumn id="1" xr3:uid="{4BE4823E-1F82-4833-AF2F-131DD010580C}" name="Person"/>
    <tableColumn id="2" xr3:uid="{DB562737-07D7-4E32-87BE-737A9E467551}" name="Script"/>
    <tableColumn id="3" xr3:uid="{82DA99BE-8FA5-418D-8B10-AB213BBA6A87}" name="Manual Duration" dataDxfId="6"/>
    <tableColumn id="4" xr3:uid="{8B62B8E7-2869-4C2D-B8C8-CC3A3287E19F}" name="Word Count" dataDxfId="5">
      <calculatedColumnFormula>IF(LEN(TRIM(C3))=0,0,LEN(TRIM(C3))-LEN(SUBSTITUTE(C3," ",""))+1)</calculatedColumnFormula>
    </tableColumn>
    <tableColumn id="5" xr3:uid="{E3108AD1-6EE7-4AC3-8709-A0CD4E39F2D5}" name="Calc Duration" dataDxfId="4">
      <calculatedColumnFormula>IF(B3="",5,ROUND(E3/$C$1,0))</calculatedColumnFormula>
    </tableColumn>
    <tableColumn id="6" xr3:uid="{323E07CE-ED8A-4368-BB59-A5DB12DB9DCF}" name="Considered Duration" dataDxfId="3">
      <calculatedColumnFormula>IF(C3="",0, IF(D3="",F3,D3))</calculatedColumnFormula>
    </tableColumn>
    <tableColumn id="7" xr3:uid="{56248789-C177-4452-98BA-F0B1F351C871}" name="Cumul." dataDxfId="2">
      <calculatedColumnFormula>IF(D3="",F3,D3)+H2</calculatedColumnFormula>
    </tableColumn>
    <tableColumn id="8" xr3:uid="{17F3D273-F25E-4785-8267-E7D2BFF55085}" name="Min" dataDxfId="1">
      <calculatedColumnFormula>FLOOR(H3/60,1)</calculatedColumnFormula>
    </tableColumn>
    <tableColumn id="9" xr3:uid="{4B0D3E92-9097-41DC-A6A4-18D516858FE4}" name="Sec" dataDxfId="0">
      <calculatedColumnFormula>H3-I3*60</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A402E-1FEA-4E56-9C0B-7BC928FFDF93}">
  <dimension ref="A1:S35"/>
  <sheetViews>
    <sheetView tabSelected="1" workbookViewId="0">
      <pane xSplit="2" ySplit="2" topLeftCell="C7" activePane="bottomRight" state="frozen"/>
      <selection pane="topRight" activeCell="B1" sqref="B1"/>
      <selection pane="bottomLeft" activeCell="A3" sqref="A3"/>
      <selection pane="bottomRight" activeCell="C27" sqref="C27"/>
    </sheetView>
  </sheetViews>
  <sheetFormatPr defaultRowHeight="15" x14ac:dyDescent="0.25"/>
  <cols>
    <col min="2" max="2" width="13.28515625" customWidth="1"/>
    <col min="3" max="3" width="92.42578125" customWidth="1"/>
    <col min="4" max="4" width="12" customWidth="1"/>
    <col min="5" max="5" width="11.140625" customWidth="1"/>
    <col min="6" max="6" width="10.7109375" customWidth="1"/>
    <col min="7" max="7" width="11.140625" customWidth="1"/>
    <col min="8" max="8" width="11.5703125" customWidth="1"/>
    <col min="9" max="9" width="11.140625" customWidth="1"/>
  </cols>
  <sheetData>
    <row r="1" spans="1:19" ht="42.75" customHeight="1" x14ac:dyDescent="0.25">
      <c r="B1" s="30" t="s">
        <v>32</v>
      </c>
      <c r="C1" s="30">
        <v>2.2999999999999998</v>
      </c>
      <c r="D1" s="22" t="s">
        <v>3</v>
      </c>
      <c r="E1" s="27">
        <f>SUMIFS(Table1[[#All],[Considered Duration]],Table1[[#All],[Person]],D1)/$M$1</f>
        <v>0.36499999999999999</v>
      </c>
      <c r="F1" s="23" t="s">
        <v>63</v>
      </c>
      <c r="G1" s="27">
        <f>SUMIFS(Table1[[#All],[Considered Duration]],Table1[[#All],[Person]],F1)/$M$1</f>
        <v>0.32</v>
      </c>
      <c r="H1" s="24" t="s">
        <v>64</v>
      </c>
      <c r="I1" s="27">
        <f>SUMIFS(Table1[[#All],[Considered Duration]],Table1[[#All],[Person]],H1)/$M$1</f>
        <v>0.19</v>
      </c>
      <c r="L1" s="28" t="s">
        <v>4</v>
      </c>
      <c r="M1" s="29">
        <f>SUM(Table1[[#All],[Considered Duration]])</f>
        <v>400</v>
      </c>
      <c r="N1" s="30"/>
      <c r="O1" s="28" t="s">
        <v>5</v>
      </c>
      <c r="P1" s="29">
        <f>FLOOR(M1/60,1)</f>
        <v>6</v>
      </c>
      <c r="Q1" s="28" t="s">
        <v>6</v>
      </c>
      <c r="R1" s="29">
        <f>$M$1-P1*60</f>
        <v>40</v>
      </c>
      <c r="S1" s="30"/>
    </row>
    <row r="2" spans="1:19" ht="31.5" x14ac:dyDescent="0.25">
      <c r="A2" t="s">
        <v>39</v>
      </c>
      <c r="B2" s="15" t="s">
        <v>0</v>
      </c>
      <c r="C2" s="15" t="s">
        <v>1</v>
      </c>
      <c r="D2" s="15" t="s">
        <v>34</v>
      </c>
      <c r="E2" s="15" t="s">
        <v>31</v>
      </c>
      <c r="F2" s="15" t="s">
        <v>33</v>
      </c>
      <c r="G2" s="26" t="s">
        <v>35</v>
      </c>
      <c r="H2" s="25" t="s">
        <v>7</v>
      </c>
      <c r="I2" s="25" t="s">
        <v>5</v>
      </c>
      <c r="J2" s="25" t="s">
        <v>6</v>
      </c>
      <c r="L2" t="s">
        <v>36</v>
      </c>
      <c r="M2">
        <v>720</v>
      </c>
      <c r="O2" s="28" t="s">
        <v>5</v>
      </c>
      <c r="P2" s="29">
        <f>FLOOR(M2/60,1)</f>
        <v>12</v>
      </c>
      <c r="Q2" s="28" t="s">
        <v>6</v>
      </c>
      <c r="R2" s="29">
        <f>$M$2-P2*60</f>
        <v>0</v>
      </c>
    </row>
    <row r="3" spans="1:19" ht="15.75" x14ac:dyDescent="0.25">
      <c r="A3">
        <v>1</v>
      </c>
      <c r="B3" s="17"/>
      <c r="C3" s="17" t="s">
        <v>2</v>
      </c>
      <c r="D3" s="31">
        <v>5</v>
      </c>
      <c r="E3" s="31">
        <f>IF(LEN(TRIM(C3))=0,0,LEN(TRIM(C3))-LEN(SUBSTITUTE(C3," ",""))+1)</f>
        <v>6</v>
      </c>
      <c r="F3" s="31">
        <f t="shared" ref="F3:F35" si="0">IF(B3="",5,ROUND(E3/$C$1,0))</f>
        <v>5</v>
      </c>
      <c r="G3" s="31">
        <f>IF(C3="",0, IF(D3="",F3,D3))</f>
        <v>5</v>
      </c>
      <c r="H3" s="32">
        <f>G3</f>
        <v>5</v>
      </c>
      <c r="I3" s="32">
        <f>FLOOR(H3/60,1)</f>
        <v>0</v>
      </c>
      <c r="J3" s="32">
        <f>H3-I3*60</f>
        <v>5</v>
      </c>
    </row>
    <row r="4" spans="1:19" ht="141.75" x14ac:dyDescent="0.25">
      <c r="A4">
        <f>A3+1</f>
        <v>2</v>
      </c>
      <c r="B4" s="18" t="s">
        <v>3</v>
      </c>
      <c r="C4" s="17" t="s">
        <v>74</v>
      </c>
      <c r="D4" s="16"/>
      <c r="E4" s="31">
        <f t="shared" ref="E4:E34" si="1">IF(LEN(TRIM(C4))=0,0,LEN(TRIM(C4))-LEN(SUBSTITUTE(C4," ",""))+1)</f>
        <v>105</v>
      </c>
      <c r="F4" s="31">
        <f t="shared" si="0"/>
        <v>46</v>
      </c>
      <c r="G4" s="31">
        <f t="shared" ref="G4:G35" si="2">IF(C4="",0, IF(D4="",F4,D4))</f>
        <v>46</v>
      </c>
      <c r="H4" s="32">
        <f>G4+H3</f>
        <v>51</v>
      </c>
      <c r="I4" s="32">
        <f t="shared" ref="I4" si="3">FLOOR(H4/60,1)</f>
        <v>0</v>
      </c>
      <c r="J4" s="32">
        <f t="shared" ref="J4" si="4">H4-I4*60</f>
        <v>51</v>
      </c>
    </row>
    <row r="5" spans="1:19" ht="15.75" x14ac:dyDescent="0.25">
      <c r="A5">
        <f t="shared" ref="A5:A33" si="5">A4+1</f>
        <v>3</v>
      </c>
      <c r="B5" s="17"/>
      <c r="C5" s="17" t="s">
        <v>65</v>
      </c>
      <c r="D5" s="31">
        <v>5</v>
      </c>
      <c r="E5" s="31">
        <f t="shared" si="1"/>
        <v>8</v>
      </c>
      <c r="F5" s="31">
        <f t="shared" si="0"/>
        <v>5</v>
      </c>
      <c r="G5" s="31">
        <f t="shared" si="2"/>
        <v>5</v>
      </c>
      <c r="H5" s="32">
        <f t="shared" ref="H5:H35" si="6">G5+H4</f>
        <v>56</v>
      </c>
      <c r="I5" s="32">
        <f t="shared" ref="I5:I6" si="7">FLOOR(H5/60,1)</f>
        <v>0</v>
      </c>
      <c r="J5" s="32">
        <f t="shared" ref="J5:J6" si="8">H5-I5*60</f>
        <v>56</v>
      </c>
    </row>
    <row r="6" spans="1:19" ht="94.5" x14ac:dyDescent="0.25">
      <c r="A6">
        <f t="shared" si="5"/>
        <v>4</v>
      </c>
      <c r="B6" s="19" t="s">
        <v>63</v>
      </c>
      <c r="C6" s="17" t="s">
        <v>75</v>
      </c>
      <c r="D6" s="16"/>
      <c r="E6" s="31">
        <f t="shared" si="1"/>
        <v>80</v>
      </c>
      <c r="F6" s="31">
        <f t="shared" si="0"/>
        <v>35</v>
      </c>
      <c r="G6" s="31">
        <f t="shared" si="2"/>
        <v>35</v>
      </c>
      <c r="H6" s="32">
        <f t="shared" si="6"/>
        <v>91</v>
      </c>
      <c r="I6" s="32">
        <f t="shared" si="7"/>
        <v>1</v>
      </c>
      <c r="J6" s="32">
        <f t="shared" si="8"/>
        <v>31</v>
      </c>
    </row>
    <row r="7" spans="1:19" ht="15.75" x14ac:dyDescent="0.25">
      <c r="A7">
        <f t="shared" si="5"/>
        <v>5</v>
      </c>
      <c r="B7" s="17"/>
      <c r="C7" s="17" t="s">
        <v>66</v>
      </c>
      <c r="D7" s="31">
        <v>5</v>
      </c>
      <c r="E7" s="31">
        <f t="shared" si="1"/>
        <v>6</v>
      </c>
      <c r="F7" s="31">
        <f t="shared" si="0"/>
        <v>5</v>
      </c>
      <c r="G7" s="31">
        <f t="shared" si="2"/>
        <v>5</v>
      </c>
      <c r="H7" s="32">
        <f t="shared" si="6"/>
        <v>96</v>
      </c>
      <c r="I7" s="32">
        <f t="shared" ref="I7:I35" si="9">FLOOR(H7/60,1)</f>
        <v>1</v>
      </c>
      <c r="J7" s="32">
        <f t="shared" ref="J7:J35" si="10">H7-I7*60</f>
        <v>36</v>
      </c>
      <c r="N7">
        <v>11.304</v>
      </c>
      <c r="O7">
        <f>SQRT(N7)</f>
        <v>3.3621421742692559</v>
      </c>
    </row>
    <row r="8" spans="1:19" ht="94.5" x14ac:dyDescent="0.25">
      <c r="A8">
        <f t="shared" si="5"/>
        <v>6</v>
      </c>
      <c r="B8" s="20" t="s">
        <v>64</v>
      </c>
      <c r="C8" s="17" t="s">
        <v>76</v>
      </c>
      <c r="D8" s="16"/>
      <c r="E8" s="31">
        <f t="shared" si="1"/>
        <v>54</v>
      </c>
      <c r="F8" s="31">
        <f t="shared" si="0"/>
        <v>23</v>
      </c>
      <c r="G8" s="31">
        <f t="shared" si="2"/>
        <v>23</v>
      </c>
      <c r="H8" s="32">
        <f t="shared" si="6"/>
        <v>119</v>
      </c>
      <c r="I8" s="32">
        <f t="shared" si="9"/>
        <v>1</v>
      </c>
      <c r="J8" s="32">
        <f t="shared" si="10"/>
        <v>59</v>
      </c>
      <c r="N8">
        <v>20.07</v>
      </c>
      <c r="O8">
        <f>SQRT(N8)</f>
        <v>4.4799553569204233</v>
      </c>
    </row>
    <row r="9" spans="1:19" ht="110.25" x14ac:dyDescent="0.25">
      <c r="A9">
        <f t="shared" si="5"/>
        <v>7</v>
      </c>
      <c r="B9" s="18" t="s">
        <v>3</v>
      </c>
      <c r="C9" s="17" t="s">
        <v>77</v>
      </c>
      <c r="D9" s="16"/>
      <c r="E9" s="31">
        <f t="shared" si="1"/>
        <v>86</v>
      </c>
      <c r="F9" s="31">
        <f t="shared" si="0"/>
        <v>37</v>
      </c>
      <c r="G9" s="31">
        <f t="shared" si="2"/>
        <v>37</v>
      </c>
      <c r="H9" s="32">
        <f t="shared" si="6"/>
        <v>156</v>
      </c>
      <c r="I9" s="32">
        <f t="shared" si="9"/>
        <v>2</v>
      </c>
      <c r="J9" s="32">
        <f t="shared" si="10"/>
        <v>36</v>
      </c>
      <c r="O9">
        <f>O8-O7</f>
        <v>1.1178131826511675</v>
      </c>
    </row>
    <row r="10" spans="1:19" ht="63" x14ac:dyDescent="0.25">
      <c r="A10">
        <f t="shared" si="5"/>
        <v>8</v>
      </c>
      <c r="B10" s="19" t="s">
        <v>63</v>
      </c>
      <c r="C10" s="17" t="s">
        <v>69</v>
      </c>
      <c r="D10" s="16"/>
      <c r="E10" s="31">
        <f t="shared" si="1"/>
        <v>40</v>
      </c>
      <c r="F10" s="31">
        <f t="shared" si="0"/>
        <v>17</v>
      </c>
      <c r="G10" s="31">
        <f t="shared" si="2"/>
        <v>17</v>
      </c>
      <c r="H10" s="32">
        <f t="shared" si="6"/>
        <v>173</v>
      </c>
      <c r="I10" s="32">
        <f t="shared" si="9"/>
        <v>2</v>
      </c>
      <c r="J10" s="32">
        <f t="shared" si="10"/>
        <v>53</v>
      </c>
    </row>
    <row r="11" spans="1:19" ht="15.75" x14ac:dyDescent="0.25">
      <c r="A11">
        <f t="shared" si="5"/>
        <v>9</v>
      </c>
      <c r="B11" s="17"/>
      <c r="C11" s="17" t="s">
        <v>68</v>
      </c>
      <c r="D11" s="16">
        <v>5</v>
      </c>
      <c r="E11" s="31">
        <f t="shared" si="1"/>
        <v>5</v>
      </c>
      <c r="F11" s="31">
        <f t="shared" si="0"/>
        <v>5</v>
      </c>
      <c r="G11" s="31">
        <f t="shared" si="2"/>
        <v>5</v>
      </c>
      <c r="H11" s="32">
        <f t="shared" si="6"/>
        <v>178</v>
      </c>
      <c r="I11" s="32">
        <f t="shared" si="9"/>
        <v>2</v>
      </c>
      <c r="J11" s="32">
        <f t="shared" si="10"/>
        <v>58</v>
      </c>
      <c r="N11">
        <v>5000000</v>
      </c>
    </row>
    <row r="12" spans="1:19" ht="47.25" x14ac:dyDescent="0.25">
      <c r="A12">
        <f t="shared" si="5"/>
        <v>10</v>
      </c>
      <c r="B12" s="18" t="s">
        <v>3</v>
      </c>
      <c r="C12" s="17" t="s">
        <v>78</v>
      </c>
      <c r="D12" s="16"/>
      <c r="E12" s="31">
        <f t="shared" si="1"/>
        <v>30</v>
      </c>
      <c r="F12" s="31">
        <f t="shared" si="0"/>
        <v>13</v>
      </c>
      <c r="G12" s="31">
        <f t="shared" si="2"/>
        <v>13</v>
      </c>
      <c r="H12" s="32">
        <f t="shared" si="6"/>
        <v>191</v>
      </c>
      <c r="I12" s="32">
        <f t="shared" si="9"/>
        <v>3</v>
      </c>
      <c r="J12" s="32">
        <f t="shared" si="10"/>
        <v>11</v>
      </c>
      <c r="N12">
        <f>N11/365</f>
        <v>13698.630136986301</v>
      </c>
    </row>
    <row r="13" spans="1:19" ht="47.25" x14ac:dyDescent="0.25">
      <c r="A13">
        <f t="shared" si="5"/>
        <v>11</v>
      </c>
      <c r="B13" s="19" t="s">
        <v>63</v>
      </c>
      <c r="C13" s="17" t="s">
        <v>73</v>
      </c>
      <c r="D13" s="16"/>
      <c r="E13" s="31">
        <f t="shared" si="1"/>
        <v>29</v>
      </c>
      <c r="F13" s="31">
        <f t="shared" si="0"/>
        <v>13</v>
      </c>
      <c r="G13" s="31">
        <f t="shared" si="2"/>
        <v>13</v>
      </c>
      <c r="H13" s="32">
        <f t="shared" si="6"/>
        <v>204</v>
      </c>
      <c r="I13" s="32">
        <f t="shared" si="9"/>
        <v>3</v>
      </c>
      <c r="J13" s="32">
        <f t="shared" si="10"/>
        <v>24</v>
      </c>
      <c r="N13">
        <f>N12/24</f>
        <v>570.77625570776252</v>
      </c>
    </row>
    <row r="14" spans="1:19" ht="47.25" x14ac:dyDescent="0.25">
      <c r="A14">
        <f t="shared" si="5"/>
        <v>12</v>
      </c>
      <c r="B14" s="20" t="s">
        <v>64</v>
      </c>
      <c r="C14" s="17" t="s">
        <v>79</v>
      </c>
      <c r="D14" s="16"/>
      <c r="E14" s="31">
        <f t="shared" si="1"/>
        <v>37</v>
      </c>
      <c r="F14" s="31">
        <f t="shared" si="0"/>
        <v>16</v>
      </c>
      <c r="G14" s="31">
        <f t="shared" si="2"/>
        <v>16</v>
      </c>
      <c r="H14" s="32">
        <f t="shared" si="6"/>
        <v>220</v>
      </c>
      <c r="I14" s="32">
        <f t="shared" si="9"/>
        <v>3</v>
      </c>
      <c r="J14" s="32">
        <f t="shared" si="10"/>
        <v>40</v>
      </c>
      <c r="N14">
        <f>N13/60</f>
        <v>9.512937595129376</v>
      </c>
    </row>
    <row r="15" spans="1:19" ht="15.75" x14ac:dyDescent="0.25">
      <c r="A15">
        <f t="shared" si="5"/>
        <v>13</v>
      </c>
      <c r="B15" s="17"/>
      <c r="C15" s="17" t="s">
        <v>67</v>
      </c>
      <c r="D15" s="16">
        <v>5</v>
      </c>
      <c r="E15" s="31">
        <f t="shared" si="1"/>
        <v>8</v>
      </c>
      <c r="F15" s="31">
        <f t="shared" si="0"/>
        <v>5</v>
      </c>
      <c r="G15" s="31">
        <f t="shared" si="2"/>
        <v>5</v>
      </c>
      <c r="H15" s="32">
        <f t="shared" si="6"/>
        <v>225</v>
      </c>
      <c r="I15" s="32">
        <f t="shared" si="9"/>
        <v>3</v>
      </c>
      <c r="J15" s="32">
        <f t="shared" si="10"/>
        <v>45</v>
      </c>
    </row>
    <row r="16" spans="1:19" ht="47.25" x14ac:dyDescent="0.25">
      <c r="A16">
        <f t="shared" si="5"/>
        <v>14</v>
      </c>
      <c r="B16" s="19" t="s">
        <v>63</v>
      </c>
      <c r="C16" s="17" t="s">
        <v>70</v>
      </c>
      <c r="D16" s="16"/>
      <c r="E16" s="31">
        <f t="shared" si="1"/>
        <v>35</v>
      </c>
      <c r="F16" s="31">
        <f t="shared" si="0"/>
        <v>15</v>
      </c>
      <c r="G16" s="31">
        <f t="shared" si="2"/>
        <v>15</v>
      </c>
      <c r="H16" s="32">
        <f t="shared" si="6"/>
        <v>240</v>
      </c>
      <c r="I16" s="32">
        <f t="shared" si="9"/>
        <v>4</v>
      </c>
      <c r="J16" s="32">
        <f t="shared" si="10"/>
        <v>0</v>
      </c>
    </row>
    <row r="17" spans="1:11" ht="141.75" x14ac:dyDescent="0.25">
      <c r="A17">
        <f t="shared" si="5"/>
        <v>15</v>
      </c>
      <c r="B17" s="20" t="s">
        <v>64</v>
      </c>
      <c r="C17" s="17" t="s">
        <v>71</v>
      </c>
      <c r="D17" s="16"/>
      <c r="E17" s="31">
        <f t="shared" si="1"/>
        <v>84</v>
      </c>
      <c r="F17" s="31">
        <f t="shared" si="0"/>
        <v>37</v>
      </c>
      <c r="G17" s="31">
        <f t="shared" si="2"/>
        <v>37</v>
      </c>
      <c r="H17" s="32">
        <f t="shared" si="6"/>
        <v>277</v>
      </c>
      <c r="I17" s="32">
        <f t="shared" si="9"/>
        <v>4</v>
      </c>
      <c r="J17" s="32">
        <f t="shared" si="10"/>
        <v>37</v>
      </c>
    </row>
    <row r="18" spans="1:11" ht="15.75" x14ac:dyDescent="0.25">
      <c r="A18">
        <f t="shared" si="5"/>
        <v>16</v>
      </c>
      <c r="C18" s="17" t="s">
        <v>72</v>
      </c>
      <c r="D18" s="31">
        <v>5</v>
      </c>
      <c r="E18" s="31">
        <f t="shared" si="1"/>
        <v>4</v>
      </c>
      <c r="F18" s="31">
        <f t="shared" si="0"/>
        <v>5</v>
      </c>
      <c r="G18" s="31">
        <f t="shared" si="2"/>
        <v>5</v>
      </c>
      <c r="H18" s="32">
        <f t="shared" si="6"/>
        <v>282</v>
      </c>
      <c r="I18" s="32">
        <f t="shared" si="9"/>
        <v>4</v>
      </c>
      <c r="J18" s="32">
        <f t="shared" si="10"/>
        <v>42</v>
      </c>
    </row>
    <row r="19" spans="1:11" ht="189" x14ac:dyDescent="0.25">
      <c r="A19">
        <f t="shared" si="5"/>
        <v>17</v>
      </c>
      <c r="B19" s="18" t="s">
        <v>3</v>
      </c>
      <c r="C19" s="17" t="s">
        <v>80</v>
      </c>
      <c r="D19" s="31"/>
      <c r="E19" s="31">
        <f t="shared" si="1"/>
        <v>116</v>
      </c>
      <c r="F19" s="31">
        <f t="shared" si="0"/>
        <v>50</v>
      </c>
      <c r="G19" s="31">
        <f t="shared" si="2"/>
        <v>50</v>
      </c>
      <c r="H19" s="32">
        <f t="shared" si="6"/>
        <v>332</v>
      </c>
      <c r="I19" s="32">
        <f t="shared" si="9"/>
        <v>5</v>
      </c>
      <c r="J19" s="32">
        <f t="shared" si="10"/>
        <v>32</v>
      </c>
    </row>
    <row r="20" spans="1:11" ht="173.25" x14ac:dyDescent="0.25">
      <c r="A20">
        <f t="shared" si="5"/>
        <v>18</v>
      </c>
      <c r="B20" s="19" t="s">
        <v>63</v>
      </c>
      <c r="C20" s="17" t="s">
        <v>81</v>
      </c>
      <c r="D20" s="31"/>
      <c r="E20" s="31">
        <f t="shared" si="1"/>
        <v>110</v>
      </c>
      <c r="F20" s="31">
        <f t="shared" si="0"/>
        <v>48</v>
      </c>
      <c r="G20" s="31">
        <f t="shared" si="2"/>
        <v>48</v>
      </c>
      <c r="H20" s="32">
        <f t="shared" si="6"/>
        <v>380</v>
      </c>
      <c r="I20" s="32">
        <f t="shared" si="9"/>
        <v>6</v>
      </c>
      <c r="J20" s="32">
        <f t="shared" si="10"/>
        <v>20</v>
      </c>
    </row>
    <row r="21" spans="1:11" ht="15.75" x14ac:dyDescent="0.25">
      <c r="A21">
        <f t="shared" si="5"/>
        <v>19</v>
      </c>
      <c r="B21" s="20" t="s">
        <v>64</v>
      </c>
      <c r="C21" s="17"/>
      <c r="D21" s="31"/>
      <c r="E21" s="31">
        <f t="shared" si="1"/>
        <v>0</v>
      </c>
      <c r="F21" s="31">
        <f t="shared" si="0"/>
        <v>0</v>
      </c>
      <c r="G21" s="31">
        <f t="shared" si="2"/>
        <v>0</v>
      </c>
      <c r="H21" s="32">
        <f t="shared" si="6"/>
        <v>380</v>
      </c>
      <c r="I21" s="32">
        <f t="shared" si="9"/>
        <v>6</v>
      </c>
      <c r="J21" s="32">
        <f t="shared" si="10"/>
        <v>20</v>
      </c>
    </row>
    <row r="22" spans="1:11" ht="15.75" x14ac:dyDescent="0.25">
      <c r="A22">
        <f t="shared" si="5"/>
        <v>20</v>
      </c>
      <c r="C22" s="17"/>
      <c r="D22" s="31"/>
      <c r="E22" s="31">
        <f t="shared" si="1"/>
        <v>0</v>
      </c>
      <c r="F22" s="31">
        <f t="shared" si="0"/>
        <v>5</v>
      </c>
      <c r="G22" s="31">
        <f t="shared" si="2"/>
        <v>0</v>
      </c>
      <c r="H22" s="32">
        <f t="shared" si="6"/>
        <v>380</v>
      </c>
      <c r="I22" s="32">
        <f t="shared" si="9"/>
        <v>6</v>
      </c>
      <c r="J22" s="32">
        <f t="shared" si="10"/>
        <v>20</v>
      </c>
    </row>
    <row r="23" spans="1:11" ht="15.75" x14ac:dyDescent="0.25">
      <c r="A23">
        <f t="shared" si="5"/>
        <v>21</v>
      </c>
      <c r="C23" t="s">
        <v>82</v>
      </c>
      <c r="D23" s="32"/>
      <c r="E23" s="31">
        <f t="shared" si="1"/>
        <v>2</v>
      </c>
      <c r="F23" s="31">
        <f t="shared" si="0"/>
        <v>5</v>
      </c>
      <c r="G23" s="31">
        <f t="shared" si="2"/>
        <v>5</v>
      </c>
      <c r="H23" s="32">
        <f t="shared" si="6"/>
        <v>385</v>
      </c>
      <c r="I23" s="32">
        <f t="shared" si="9"/>
        <v>6</v>
      </c>
      <c r="J23" s="32">
        <f t="shared" si="10"/>
        <v>25</v>
      </c>
    </row>
    <row r="24" spans="1:11" ht="15.75" x14ac:dyDescent="0.25">
      <c r="A24">
        <f t="shared" si="5"/>
        <v>22</v>
      </c>
      <c r="B24" s="18" t="s">
        <v>3</v>
      </c>
      <c r="C24" s="25"/>
      <c r="D24" s="32"/>
      <c r="E24" s="31">
        <f t="shared" si="1"/>
        <v>0</v>
      </c>
      <c r="F24" s="31">
        <f t="shared" si="0"/>
        <v>0</v>
      </c>
      <c r="G24" s="31">
        <f t="shared" si="2"/>
        <v>0</v>
      </c>
      <c r="H24" s="32">
        <f t="shared" si="6"/>
        <v>385</v>
      </c>
      <c r="I24" s="32">
        <f t="shared" si="9"/>
        <v>6</v>
      </c>
      <c r="J24" s="32">
        <f t="shared" si="10"/>
        <v>25</v>
      </c>
    </row>
    <row r="25" spans="1:11" ht="15.75" x14ac:dyDescent="0.25">
      <c r="A25">
        <f t="shared" si="5"/>
        <v>23</v>
      </c>
      <c r="B25" s="19" t="s">
        <v>63</v>
      </c>
      <c r="C25" s="25"/>
      <c r="D25" s="32"/>
      <c r="E25" s="31">
        <f t="shared" si="1"/>
        <v>0</v>
      </c>
      <c r="F25" s="31">
        <f t="shared" si="0"/>
        <v>0</v>
      </c>
      <c r="G25" s="31">
        <f t="shared" si="2"/>
        <v>0</v>
      </c>
      <c r="H25" s="32">
        <f t="shared" si="6"/>
        <v>385</v>
      </c>
      <c r="I25" s="32">
        <f t="shared" si="9"/>
        <v>6</v>
      </c>
      <c r="J25" s="32">
        <f t="shared" si="10"/>
        <v>25</v>
      </c>
    </row>
    <row r="26" spans="1:11" ht="15.75" x14ac:dyDescent="0.25">
      <c r="A26">
        <f t="shared" si="5"/>
        <v>24</v>
      </c>
      <c r="B26" s="20" t="s">
        <v>64</v>
      </c>
      <c r="C26" s="34"/>
      <c r="D26" s="33"/>
      <c r="E26" s="31">
        <f t="shared" si="1"/>
        <v>0</v>
      </c>
      <c r="F26" s="31">
        <f t="shared" si="0"/>
        <v>0</v>
      </c>
      <c r="G26" s="31">
        <f t="shared" si="2"/>
        <v>0</v>
      </c>
      <c r="H26" s="32">
        <f t="shared" si="6"/>
        <v>385</v>
      </c>
      <c r="I26" s="32">
        <f t="shared" si="9"/>
        <v>6</v>
      </c>
      <c r="J26" s="32">
        <f t="shared" si="10"/>
        <v>25</v>
      </c>
      <c r="K26" s="21">
        <v>10</v>
      </c>
    </row>
    <row r="27" spans="1:11" ht="15.75" x14ac:dyDescent="0.25">
      <c r="A27">
        <f t="shared" si="5"/>
        <v>25</v>
      </c>
      <c r="C27" t="s">
        <v>37</v>
      </c>
      <c r="D27" s="33"/>
      <c r="E27" s="31">
        <f t="shared" si="1"/>
        <v>3</v>
      </c>
      <c r="F27" s="31">
        <f t="shared" si="0"/>
        <v>5</v>
      </c>
      <c r="G27" s="31">
        <f t="shared" si="2"/>
        <v>5</v>
      </c>
      <c r="H27" s="32">
        <f t="shared" si="6"/>
        <v>390</v>
      </c>
      <c r="I27" s="32">
        <f t="shared" si="9"/>
        <v>6</v>
      </c>
      <c r="J27" s="32">
        <f t="shared" si="10"/>
        <v>30</v>
      </c>
      <c r="K27" s="21">
        <v>10</v>
      </c>
    </row>
    <row r="28" spans="1:11" ht="15.75" x14ac:dyDescent="0.25">
      <c r="A28">
        <f t="shared" si="5"/>
        <v>26</v>
      </c>
      <c r="B28" s="18" t="s">
        <v>3</v>
      </c>
      <c r="C28" s="34"/>
      <c r="D28" s="33"/>
      <c r="E28" s="31">
        <f t="shared" si="1"/>
        <v>0</v>
      </c>
      <c r="F28" s="31">
        <f t="shared" si="0"/>
        <v>0</v>
      </c>
      <c r="G28" s="31">
        <f t="shared" si="2"/>
        <v>0</v>
      </c>
      <c r="H28" s="32">
        <f t="shared" si="6"/>
        <v>390</v>
      </c>
      <c r="I28" s="32">
        <f t="shared" si="9"/>
        <v>6</v>
      </c>
      <c r="J28" s="32">
        <f t="shared" si="10"/>
        <v>30</v>
      </c>
      <c r="K28" s="21">
        <v>12</v>
      </c>
    </row>
    <row r="29" spans="1:11" ht="15.75" x14ac:dyDescent="0.25">
      <c r="A29">
        <f t="shared" si="5"/>
        <v>27</v>
      </c>
      <c r="B29" s="19" t="s">
        <v>63</v>
      </c>
      <c r="C29" s="25"/>
      <c r="D29" s="32"/>
      <c r="E29" s="31">
        <f t="shared" si="1"/>
        <v>0</v>
      </c>
      <c r="F29" s="31">
        <f t="shared" si="0"/>
        <v>0</v>
      </c>
      <c r="G29" s="31">
        <f t="shared" si="2"/>
        <v>0</v>
      </c>
      <c r="H29" s="32">
        <f t="shared" si="6"/>
        <v>390</v>
      </c>
      <c r="I29" s="32">
        <f t="shared" si="9"/>
        <v>6</v>
      </c>
      <c r="J29" s="32">
        <f t="shared" si="10"/>
        <v>30</v>
      </c>
    </row>
    <row r="30" spans="1:11" ht="15.75" x14ac:dyDescent="0.25">
      <c r="A30">
        <f t="shared" si="5"/>
        <v>28</v>
      </c>
      <c r="B30" s="20" t="s">
        <v>64</v>
      </c>
      <c r="C30" s="25"/>
      <c r="D30" s="32"/>
      <c r="E30" s="31">
        <f t="shared" si="1"/>
        <v>0</v>
      </c>
      <c r="F30" s="31">
        <f t="shared" si="0"/>
        <v>0</v>
      </c>
      <c r="G30" s="31">
        <f t="shared" si="2"/>
        <v>0</v>
      </c>
      <c r="H30" s="32">
        <f t="shared" si="6"/>
        <v>390</v>
      </c>
      <c r="I30" s="32">
        <f t="shared" si="9"/>
        <v>6</v>
      </c>
      <c r="J30" s="32">
        <f t="shared" si="10"/>
        <v>30</v>
      </c>
    </row>
    <row r="31" spans="1:11" ht="15.75" x14ac:dyDescent="0.25">
      <c r="A31">
        <f t="shared" si="5"/>
        <v>29</v>
      </c>
      <c r="B31" s="18" t="s">
        <v>3</v>
      </c>
      <c r="C31" s="25"/>
      <c r="D31" s="32"/>
      <c r="E31" s="31">
        <f t="shared" si="1"/>
        <v>0</v>
      </c>
      <c r="F31" s="31">
        <f t="shared" si="0"/>
        <v>0</v>
      </c>
      <c r="G31" s="31">
        <f t="shared" si="2"/>
        <v>0</v>
      </c>
      <c r="H31" s="32">
        <f t="shared" si="6"/>
        <v>390</v>
      </c>
      <c r="I31" s="32">
        <f t="shared" si="9"/>
        <v>6</v>
      </c>
      <c r="J31" s="32">
        <f t="shared" si="10"/>
        <v>30</v>
      </c>
    </row>
    <row r="32" spans="1:11" ht="15.75" x14ac:dyDescent="0.25">
      <c r="A32">
        <f t="shared" si="5"/>
        <v>30</v>
      </c>
      <c r="C32" s="25" t="s">
        <v>67</v>
      </c>
      <c r="D32" s="32"/>
      <c r="E32" s="31">
        <f t="shared" si="1"/>
        <v>8</v>
      </c>
      <c r="F32" s="31">
        <f t="shared" si="0"/>
        <v>5</v>
      </c>
      <c r="G32" s="31">
        <f t="shared" si="2"/>
        <v>5</v>
      </c>
      <c r="H32" s="32">
        <f t="shared" si="6"/>
        <v>395</v>
      </c>
      <c r="I32" s="32">
        <f t="shared" si="9"/>
        <v>6</v>
      </c>
      <c r="J32" s="32">
        <f t="shared" si="10"/>
        <v>35</v>
      </c>
    </row>
    <row r="33" spans="1:10" ht="15.75" x14ac:dyDescent="0.25">
      <c r="A33">
        <f t="shared" si="5"/>
        <v>31</v>
      </c>
      <c r="C33" s="25" t="s">
        <v>38</v>
      </c>
      <c r="D33" s="32"/>
      <c r="E33" s="31">
        <f t="shared" si="1"/>
        <v>1</v>
      </c>
      <c r="F33" s="31">
        <f t="shared" si="0"/>
        <v>5</v>
      </c>
      <c r="G33" s="31">
        <f t="shared" si="2"/>
        <v>5</v>
      </c>
      <c r="H33" s="32">
        <f t="shared" si="6"/>
        <v>400</v>
      </c>
      <c r="I33" s="32">
        <f t="shared" si="9"/>
        <v>6</v>
      </c>
      <c r="J33" s="32">
        <f t="shared" si="10"/>
        <v>40</v>
      </c>
    </row>
    <row r="34" spans="1:10" ht="15.75" x14ac:dyDescent="0.25">
      <c r="C34" s="17"/>
      <c r="D34" s="31"/>
      <c r="E34" s="31">
        <f t="shared" si="1"/>
        <v>0</v>
      </c>
      <c r="F34" s="31">
        <f t="shared" si="0"/>
        <v>5</v>
      </c>
      <c r="G34" s="31">
        <f t="shared" si="2"/>
        <v>0</v>
      </c>
      <c r="H34" s="32">
        <f t="shared" si="6"/>
        <v>400</v>
      </c>
      <c r="I34" s="32">
        <f t="shared" si="9"/>
        <v>6</v>
      </c>
      <c r="J34" s="32">
        <f t="shared" si="10"/>
        <v>40</v>
      </c>
    </row>
    <row r="35" spans="1:10" ht="15.75" x14ac:dyDescent="0.25">
      <c r="C35" s="25"/>
      <c r="D35" s="32"/>
      <c r="E35" s="31">
        <f t="shared" ref="E35" si="11">IF(LEN(TRIM(C35))=0,0,LEN(TRIM(C35))-LEN(SUBSTITUTE(C35," ",""))+1)</f>
        <v>0</v>
      </c>
      <c r="F35" s="31">
        <f t="shared" si="0"/>
        <v>5</v>
      </c>
      <c r="G35" s="31">
        <f t="shared" si="2"/>
        <v>0</v>
      </c>
      <c r="H35" s="32">
        <f t="shared" si="6"/>
        <v>400</v>
      </c>
      <c r="I35" s="32">
        <f t="shared" si="9"/>
        <v>6</v>
      </c>
      <c r="J35" s="32">
        <f t="shared" si="10"/>
        <v>40</v>
      </c>
    </row>
  </sheetData>
  <conditionalFormatting sqref="E1 G1 I1">
    <cfRule type="dataBar" priority="2">
      <dataBar>
        <cfvo type="min"/>
        <cfvo type="max"/>
        <color rgb="FFD6007B"/>
      </dataBar>
      <extLst>
        <ext xmlns:x14="http://schemas.microsoft.com/office/spreadsheetml/2009/9/main" uri="{B025F937-C7B1-47D3-B67F-A62EFF666E3E}">
          <x14:id>{1539D582-B986-44DD-A99C-2574692F7EAE}</x14:id>
        </ext>
      </extLst>
    </cfRule>
  </conditionalFormatting>
  <conditionalFormatting sqref="G1 E1 I1">
    <cfRule type="dataBar" priority="3">
      <dataBar>
        <cfvo type="min"/>
        <cfvo type="max"/>
        <color rgb="FFD6007B"/>
      </dataBar>
      <extLst>
        <ext xmlns:x14="http://schemas.microsoft.com/office/spreadsheetml/2009/9/main" uri="{B025F937-C7B1-47D3-B67F-A62EFF666E3E}">
          <x14:id>{1765F067-15A1-47CF-A5AC-51769FD29D03}</x14:id>
        </ext>
      </extLst>
    </cfRule>
  </conditionalFormatting>
  <conditionalFormatting sqref="M1:M2">
    <cfRule type="dataBar" priority="1">
      <dataBar>
        <cfvo type="min"/>
        <cfvo type="max"/>
        <color rgb="FFD6007B"/>
      </dataBar>
      <extLst>
        <ext xmlns:x14="http://schemas.microsoft.com/office/spreadsheetml/2009/9/main" uri="{B025F937-C7B1-47D3-B67F-A62EFF666E3E}">
          <x14:id>{5DEF1E41-F2DB-4786-89BD-12A9F18D5DD5}</x14:id>
        </ext>
      </extLst>
    </cfRule>
  </conditionalFormatting>
  <pageMargins left="0.7" right="0.7" top="0.75" bottom="0.75" header="0.3" footer="0.3"/>
  <pageSetup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1539D582-B986-44DD-A99C-2574692F7EAE}">
            <x14:dataBar minLength="0" maxLength="100" border="1" negativeBarBorderColorSameAsPositive="0">
              <x14:cfvo type="autoMin"/>
              <x14:cfvo type="autoMax"/>
              <x14:borderColor rgb="FFD6007B"/>
              <x14:negativeFillColor rgb="FFFF0000"/>
              <x14:negativeBorderColor rgb="FFFF0000"/>
              <x14:axisColor rgb="FF000000"/>
            </x14:dataBar>
          </x14:cfRule>
          <xm:sqref>E1 G1 I1</xm:sqref>
        </x14:conditionalFormatting>
        <x14:conditionalFormatting xmlns:xm="http://schemas.microsoft.com/office/excel/2006/main">
          <x14:cfRule type="dataBar" id="{1765F067-15A1-47CF-A5AC-51769FD29D03}">
            <x14:dataBar minLength="0" maxLength="100" gradient="0">
              <x14:cfvo type="autoMin"/>
              <x14:cfvo type="autoMax"/>
              <x14:negativeFillColor rgb="FFFF0000"/>
              <x14:axisColor rgb="FF000000"/>
            </x14:dataBar>
          </x14:cfRule>
          <xm:sqref>G1 E1 I1</xm:sqref>
        </x14:conditionalFormatting>
        <x14:conditionalFormatting xmlns:xm="http://schemas.microsoft.com/office/excel/2006/main">
          <x14:cfRule type="dataBar" id="{5DEF1E41-F2DB-4786-89BD-12A9F18D5DD5}">
            <x14:dataBar minLength="0" maxLength="100" border="1" negativeBarBorderColorSameAsPositive="0">
              <x14:cfvo type="autoMin"/>
              <x14:cfvo type="autoMax"/>
              <x14:borderColor rgb="FFD6007B"/>
              <x14:negativeFillColor rgb="FFFF0000"/>
              <x14:negativeBorderColor rgb="FFFF0000"/>
              <x14:axisColor rgb="FF000000"/>
            </x14:dataBar>
          </x14:cfRule>
          <xm:sqref>M1:M2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73595-21C1-4B77-BE9F-33F047BA8CA3}">
  <dimension ref="A1:J11"/>
  <sheetViews>
    <sheetView workbookViewId="0">
      <selection activeCell="A3" sqref="A3"/>
    </sheetView>
  </sheetViews>
  <sheetFormatPr defaultRowHeight="15" x14ac:dyDescent="0.25"/>
  <cols>
    <col min="1" max="1" width="17.28515625" customWidth="1"/>
  </cols>
  <sheetData>
    <row r="1" spans="1:10" ht="15.75" thickBot="1" x14ac:dyDescent="0.3">
      <c r="A1" s="38" t="s">
        <v>24</v>
      </c>
      <c r="B1" s="40" t="s">
        <v>9</v>
      </c>
      <c r="C1" s="41"/>
      <c r="D1" s="42"/>
      <c r="E1" s="40" t="s">
        <v>11</v>
      </c>
      <c r="F1" s="41"/>
      <c r="G1" s="42"/>
      <c r="H1" s="40" t="s">
        <v>10</v>
      </c>
      <c r="I1" s="41"/>
      <c r="J1" s="43"/>
    </row>
    <row r="2" spans="1:10" ht="17.25" x14ac:dyDescent="0.25">
      <c r="A2" s="39"/>
      <c r="B2" s="3" t="s">
        <v>12</v>
      </c>
      <c r="C2" s="3" t="s">
        <v>13</v>
      </c>
      <c r="D2" s="3" t="s">
        <v>30</v>
      </c>
      <c r="E2" s="3" t="s">
        <v>12</v>
      </c>
      <c r="F2" s="3" t="s">
        <v>13</v>
      </c>
      <c r="G2" s="3" t="s">
        <v>30</v>
      </c>
      <c r="H2" s="3" t="s">
        <v>12</v>
      </c>
      <c r="I2" s="3" t="s">
        <v>13</v>
      </c>
      <c r="J2" s="6" t="s">
        <v>30</v>
      </c>
    </row>
    <row r="3" spans="1:10" x14ac:dyDescent="0.25">
      <c r="A3" s="7" t="s">
        <v>25</v>
      </c>
      <c r="B3" s="4">
        <v>23.25</v>
      </c>
      <c r="C3" s="4">
        <v>3.84</v>
      </c>
      <c r="D3" s="4">
        <v>0.92</v>
      </c>
      <c r="E3" s="4">
        <v>23.54</v>
      </c>
      <c r="F3" s="4">
        <v>3.78</v>
      </c>
      <c r="G3" s="4">
        <v>0.92</v>
      </c>
      <c r="H3" s="4">
        <v>21.78</v>
      </c>
      <c r="I3" s="4">
        <v>3.71</v>
      </c>
      <c r="J3" s="8">
        <v>0.92</v>
      </c>
    </row>
    <row r="4" spans="1:10" x14ac:dyDescent="0.25">
      <c r="A4" s="9" t="s">
        <v>16</v>
      </c>
      <c r="B4" s="4">
        <v>20.71</v>
      </c>
      <c r="C4" s="4">
        <v>3.62</v>
      </c>
      <c r="D4" s="4">
        <v>0.93</v>
      </c>
      <c r="E4" s="4">
        <v>21.25</v>
      </c>
      <c r="F4" s="4">
        <v>3.65</v>
      </c>
      <c r="G4" s="4">
        <v>0.93</v>
      </c>
      <c r="H4" s="4">
        <v>19.28</v>
      </c>
      <c r="I4" s="4">
        <v>3.52</v>
      </c>
      <c r="J4" s="8">
        <v>0.93</v>
      </c>
    </row>
    <row r="5" spans="1:10" ht="22.5" x14ac:dyDescent="0.25">
      <c r="A5" s="9" t="s">
        <v>26</v>
      </c>
      <c r="B5" s="4">
        <v>0</v>
      </c>
      <c r="C5" s="4">
        <v>0</v>
      </c>
      <c r="D5" s="4">
        <v>1</v>
      </c>
      <c r="E5" s="4">
        <v>22.37</v>
      </c>
      <c r="F5" s="4">
        <v>3.32</v>
      </c>
      <c r="G5" s="4">
        <v>0.93</v>
      </c>
      <c r="H5" s="4">
        <v>21.78</v>
      </c>
      <c r="I5" s="4">
        <v>3.28</v>
      </c>
      <c r="J5" s="8">
        <v>0.92</v>
      </c>
    </row>
    <row r="6" spans="1:10" ht="22.5" x14ac:dyDescent="0.25">
      <c r="A6" s="10" t="s">
        <v>27</v>
      </c>
      <c r="B6" s="5">
        <v>1.79</v>
      </c>
      <c r="C6" s="5">
        <v>0.95</v>
      </c>
      <c r="D6" s="5">
        <v>0.99</v>
      </c>
      <c r="E6" s="5">
        <v>12.96</v>
      </c>
      <c r="F6" s="5">
        <v>2.63</v>
      </c>
      <c r="G6" s="5">
        <v>0.96</v>
      </c>
      <c r="H6" s="5">
        <v>11.54</v>
      </c>
      <c r="I6" s="5">
        <v>2.48</v>
      </c>
      <c r="J6" s="11">
        <v>0.96</v>
      </c>
    </row>
    <row r="7" spans="1:10" ht="22.5" x14ac:dyDescent="0.25">
      <c r="A7" s="9" t="s">
        <v>28</v>
      </c>
      <c r="B7" s="4">
        <v>13.46</v>
      </c>
      <c r="C7" s="4">
        <v>2.81</v>
      </c>
      <c r="D7" s="4">
        <v>0.95</v>
      </c>
      <c r="E7" s="4">
        <v>16.36</v>
      </c>
      <c r="F7" s="4">
        <v>3.08</v>
      </c>
      <c r="G7" s="4">
        <v>0.95</v>
      </c>
      <c r="H7" s="4">
        <v>14.55</v>
      </c>
      <c r="I7" s="4">
        <v>2.96</v>
      </c>
      <c r="J7" s="8">
        <v>0.95</v>
      </c>
    </row>
    <row r="8" spans="1:10" x14ac:dyDescent="0.25">
      <c r="A8" s="9" t="s">
        <v>29</v>
      </c>
      <c r="B8" s="4">
        <v>24</v>
      </c>
      <c r="C8" s="4">
        <v>3.95</v>
      </c>
      <c r="D8" s="4">
        <v>0.92</v>
      </c>
      <c r="E8" s="4">
        <v>28.55</v>
      </c>
      <c r="F8" s="4">
        <v>4.1900000000000004</v>
      </c>
      <c r="G8" s="4">
        <v>0.91</v>
      </c>
      <c r="H8" s="4">
        <v>23.92</v>
      </c>
      <c r="I8" s="4">
        <v>3.91</v>
      </c>
      <c r="J8" s="8">
        <v>0.92</v>
      </c>
    </row>
    <row r="9" spans="1:10" x14ac:dyDescent="0.25">
      <c r="A9" s="9" t="s">
        <v>21</v>
      </c>
      <c r="B9" s="4">
        <v>2.4500000000000002</v>
      </c>
      <c r="C9" s="4">
        <v>1.05</v>
      </c>
      <c r="D9" s="4">
        <v>0.99</v>
      </c>
      <c r="E9" s="4">
        <v>13.62</v>
      </c>
      <c r="F9" s="4">
        <v>2.71</v>
      </c>
      <c r="G9" s="4">
        <v>0.96</v>
      </c>
      <c r="H9" s="4">
        <v>12.27</v>
      </c>
      <c r="I9" s="4">
        <v>2.56</v>
      </c>
      <c r="J9" s="8">
        <v>0.96</v>
      </c>
    </row>
    <row r="10" spans="1:10" x14ac:dyDescent="0.25">
      <c r="A10" s="9" t="s">
        <v>22</v>
      </c>
      <c r="B10" s="4">
        <v>25.89</v>
      </c>
      <c r="C10" s="4">
        <v>3.95</v>
      </c>
      <c r="D10" s="4">
        <v>0.91</v>
      </c>
      <c r="E10" s="4">
        <v>24.97</v>
      </c>
      <c r="F10" s="4">
        <v>3.86</v>
      </c>
      <c r="G10" s="4">
        <v>0.92</v>
      </c>
      <c r="H10" s="4">
        <v>23.37</v>
      </c>
      <c r="I10" s="4">
        <v>3.83</v>
      </c>
      <c r="J10" s="8">
        <v>0.92</v>
      </c>
    </row>
    <row r="11" spans="1:10" ht="15.75" thickBot="1" x14ac:dyDescent="0.3">
      <c r="A11" s="12" t="s">
        <v>23</v>
      </c>
      <c r="B11" s="13">
        <v>126.29</v>
      </c>
      <c r="C11" s="13">
        <v>9.93</v>
      </c>
      <c r="D11" s="13">
        <v>0.56000000000000005</v>
      </c>
      <c r="E11" s="13">
        <v>124.05</v>
      </c>
      <c r="F11" s="13">
        <v>9.83</v>
      </c>
      <c r="G11" s="13">
        <v>0.59</v>
      </c>
      <c r="H11" s="13">
        <v>121.82</v>
      </c>
      <c r="I11" s="13">
        <v>9.73</v>
      </c>
      <c r="J11" s="14">
        <v>0.56999999999999995</v>
      </c>
    </row>
  </sheetData>
  <mergeCells count="4">
    <mergeCell ref="A1:A2"/>
    <mergeCell ref="B1:D1"/>
    <mergeCell ref="E1:G1"/>
    <mergeCell ref="H1:J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E9AC-C180-4BEC-B54D-863F9DDA3837}">
  <dimension ref="A1:O11"/>
  <sheetViews>
    <sheetView workbookViewId="0">
      <selection activeCell="O2" sqref="O2"/>
    </sheetView>
  </sheetViews>
  <sheetFormatPr defaultRowHeight="15" x14ac:dyDescent="0.25"/>
  <cols>
    <col min="1" max="1" width="28.140625" customWidth="1"/>
    <col min="15" max="15" width="52.5703125" customWidth="1"/>
  </cols>
  <sheetData>
    <row r="1" spans="1:15" ht="16.5" customHeight="1" x14ac:dyDescent="0.25">
      <c r="A1" s="1" t="s">
        <v>8</v>
      </c>
      <c r="B1" s="44" t="s">
        <v>9</v>
      </c>
      <c r="C1" s="44"/>
      <c r="D1" s="44"/>
      <c r="E1" s="44" t="s">
        <v>10</v>
      </c>
      <c r="F1" s="44"/>
      <c r="G1" s="44"/>
      <c r="H1" s="44" t="s">
        <v>11</v>
      </c>
      <c r="I1" s="44"/>
      <c r="J1" s="44"/>
    </row>
    <row r="2" spans="1:15" ht="106.5" customHeight="1" x14ac:dyDescent="0.25">
      <c r="A2" s="2"/>
      <c r="B2" s="2" t="s">
        <v>12</v>
      </c>
      <c r="C2" s="2" t="s">
        <v>13</v>
      </c>
      <c r="D2" s="2" t="s">
        <v>14</v>
      </c>
      <c r="E2" s="2" t="s">
        <v>12</v>
      </c>
      <c r="F2" s="2" t="s">
        <v>13</v>
      </c>
      <c r="G2" s="2" t="s">
        <v>14</v>
      </c>
      <c r="H2" s="2" t="s">
        <v>12</v>
      </c>
      <c r="I2" s="2" t="s">
        <v>13</v>
      </c>
      <c r="J2" s="2" t="s">
        <v>14</v>
      </c>
      <c r="O2" s="25" t="s">
        <v>51</v>
      </c>
    </row>
    <row r="3" spans="1:15" ht="16.5" x14ac:dyDescent="0.25">
      <c r="A3" s="2" t="s">
        <v>15</v>
      </c>
      <c r="B3" s="2">
        <v>20.76</v>
      </c>
      <c r="C3" s="2">
        <v>3.64</v>
      </c>
      <c r="D3" s="2">
        <v>0.93</v>
      </c>
      <c r="E3" s="2">
        <v>19.600000000000001</v>
      </c>
      <c r="F3" s="2">
        <v>3.55</v>
      </c>
      <c r="G3" s="2">
        <v>0.93</v>
      </c>
      <c r="H3" s="2">
        <v>22.03</v>
      </c>
      <c r="I3" s="2">
        <v>3.7</v>
      </c>
      <c r="J3" s="2">
        <v>0.93</v>
      </c>
    </row>
    <row r="4" spans="1:15" ht="16.5" x14ac:dyDescent="0.25">
      <c r="A4" s="2" t="s">
        <v>16</v>
      </c>
      <c r="B4" s="2">
        <v>25.49</v>
      </c>
      <c r="C4" s="2">
        <v>4.03</v>
      </c>
      <c r="D4" s="2">
        <v>0.91</v>
      </c>
      <c r="E4" s="2">
        <v>24.18</v>
      </c>
      <c r="F4" s="2">
        <v>3.94</v>
      </c>
      <c r="G4" s="2">
        <v>0.92</v>
      </c>
      <c r="H4" s="2">
        <v>26.86</v>
      </c>
      <c r="I4" s="2">
        <v>4.08</v>
      </c>
      <c r="J4" s="2">
        <v>0.91</v>
      </c>
    </row>
    <row r="5" spans="1:15" ht="66" x14ac:dyDescent="0.25">
      <c r="A5" s="1" t="s">
        <v>17</v>
      </c>
      <c r="B5" s="2">
        <v>0</v>
      </c>
      <c r="C5" s="2">
        <v>0</v>
      </c>
      <c r="D5" s="1">
        <v>1</v>
      </c>
      <c r="E5" s="2">
        <v>20.51</v>
      </c>
      <c r="F5" s="2">
        <v>3.14</v>
      </c>
      <c r="G5" s="2">
        <v>0.93</v>
      </c>
      <c r="H5" s="2">
        <v>21.05</v>
      </c>
      <c r="I5" s="2">
        <v>3.18</v>
      </c>
      <c r="J5" s="2">
        <v>0.93</v>
      </c>
    </row>
    <row r="6" spans="1:15" ht="66" x14ac:dyDescent="0.25">
      <c r="A6" s="1" t="s">
        <v>18</v>
      </c>
      <c r="B6" s="2">
        <v>1.68</v>
      </c>
      <c r="C6" s="2">
        <v>0.92</v>
      </c>
      <c r="D6" s="2">
        <v>0.99</v>
      </c>
      <c r="E6" s="2">
        <v>10.73</v>
      </c>
      <c r="F6" s="2">
        <v>2.36</v>
      </c>
      <c r="G6" s="1">
        <v>0.96</v>
      </c>
      <c r="H6" s="2">
        <v>12.06</v>
      </c>
      <c r="I6" s="2">
        <v>2.52</v>
      </c>
      <c r="J6" s="1">
        <v>0.96</v>
      </c>
    </row>
    <row r="7" spans="1:15" ht="66" x14ac:dyDescent="0.25">
      <c r="A7" s="2" t="s">
        <v>19</v>
      </c>
      <c r="B7" s="2">
        <v>13.47</v>
      </c>
      <c r="C7" s="2">
        <v>2.8</v>
      </c>
      <c r="D7" s="2">
        <v>0.95</v>
      </c>
      <c r="E7" s="2">
        <v>14.25</v>
      </c>
      <c r="F7" s="2">
        <v>2.9</v>
      </c>
      <c r="G7" s="2">
        <v>0.95</v>
      </c>
      <c r="H7" s="2">
        <v>16.43</v>
      </c>
      <c r="I7" s="2">
        <v>3.09</v>
      </c>
      <c r="J7" s="2">
        <v>0.95</v>
      </c>
    </row>
    <row r="8" spans="1:15" ht="49.5" x14ac:dyDescent="0.25">
      <c r="A8" s="2" t="s">
        <v>20</v>
      </c>
      <c r="B8" s="2">
        <v>28.29</v>
      </c>
      <c r="C8" s="2">
        <v>4.26</v>
      </c>
      <c r="D8" s="2">
        <v>0.9</v>
      </c>
      <c r="E8" s="2">
        <v>27.19</v>
      </c>
      <c r="F8" s="2">
        <v>4.1500000000000004</v>
      </c>
      <c r="G8" s="2">
        <v>0.9</v>
      </c>
      <c r="H8" s="2">
        <v>32.53</v>
      </c>
      <c r="I8" s="2">
        <v>4.4400000000000004</v>
      </c>
      <c r="J8" s="2">
        <v>0.89</v>
      </c>
    </row>
    <row r="9" spans="1:15" ht="49.5" x14ac:dyDescent="0.25">
      <c r="A9" s="2" t="s">
        <v>21</v>
      </c>
      <c r="B9" s="2">
        <v>2.4700000000000002</v>
      </c>
      <c r="C9" s="2">
        <v>1.02</v>
      </c>
      <c r="D9" s="2">
        <v>0.99</v>
      </c>
      <c r="E9" s="2">
        <v>11.79</v>
      </c>
      <c r="F9" s="2">
        <v>2.52</v>
      </c>
      <c r="G9" s="2">
        <v>0.96</v>
      </c>
      <c r="H9" s="2">
        <v>13.24</v>
      </c>
      <c r="I9" s="2">
        <v>2.63</v>
      </c>
      <c r="J9" s="2">
        <v>0.96</v>
      </c>
    </row>
    <row r="10" spans="1:15" ht="16.5" x14ac:dyDescent="0.25">
      <c r="A10" s="2" t="s">
        <v>22</v>
      </c>
      <c r="B10" s="2">
        <v>200.95</v>
      </c>
      <c r="C10" s="2">
        <v>11.9</v>
      </c>
      <c r="D10" s="2">
        <v>0.3</v>
      </c>
      <c r="E10" s="2">
        <v>200.63</v>
      </c>
      <c r="F10" s="2">
        <v>11.83</v>
      </c>
      <c r="G10" s="2">
        <v>0.3</v>
      </c>
      <c r="H10" s="2">
        <v>220.77</v>
      </c>
      <c r="I10" s="2">
        <v>12.36</v>
      </c>
      <c r="J10" s="2">
        <v>0.28000000000000003</v>
      </c>
    </row>
    <row r="11" spans="1:15" ht="16.5" x14ac:dyDescent="0.25">
      <c r="A11" s="2" t="s">
        <v>23</v>
      </c>
      <c r="B11" s="2">
        <v>23.44</v>
      </c>
      <c r="C11" s="2">
        <v>3.82</v>
      </c>
      <c r="D11" s="2">
        <v>0.92</v>
      </c>
      <c r="E11" s="2">
        <v>22.22</v>
      </c>
      <c r="F11" s="2">
        <v>3.74</v>
      </c>
      <c r="G11" s="2">
        <v>0.92</v>
      </c>
      <c r="H11" s="2">
        <v>24.15</v>
      </c>
      <c r="I11" s="2">
        <v>3.85</v>
      </c>
      <c r="J11" s="2">
        <v>0.92</v>
      </c>
    </row>
  </sheetData>
  <mergeCells count="3">
    <mergeCell ref="B1:D1"/>
    <mergeCell ref="E1:G1"/>
    <mergeCell ref="H1:J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4B59E2-66B4-45CC-A98B-89F653ACEE38}">
  <dimension ref="A1:G19"/>
  <sheetViews>
    <sheetView topLeftCell="C1" workbookViewId="0">
      <selection activeCell="E16" sqref="E16:G19"/>
    </sheetView>
  </sheetViews>
  <sheetFormatPr defaultColWidth="34.85546875" defaultRowHeight="15" x14ac:dyDescent="0.25"/>
  <cols>
    <col min="1" max="1" width="2.5703125" bestFit="1" customWidth="1"/>
    <col min="2" max="2" width="27.7109375" bestFit="1" customWidth="1"/>
    <col min="3" max="3" width="21.28515625" bestFit="1" customWidth="1"/>
    <col min="4" max="4" width="21" bestFit="1" customWidth="1"/>
    <col min="6" max="6" width="100.7109375" customWidth="1"/>
  </cols>
  <sheetData>
    <row r="1" spans="1:7" ht="90" x14ac:dyDescent="0.25">
      <c r="F1" s="25" t="s">
        <v>51</v>
      </c>
    </row>
    <row r="2" spans="1:7" ht="16.5" x14ac:dyDescent="0.25">
      <c r="B2" s="35" t="s">
        <v>50</v>
      </c>
      <c r="C2" s="35" t="s">
        <v>40</v>
      </c>
      <c r="D2" s="35" t="s">
        <v>41</v>
      </c>
    </row>
    <row r="3" spans="1:7" ht="16.5" x14ac:dyDescent="0.25">
      <c r="A3" s="35">
        <v>0</v>
      </c>
      <c r="B3" s="36" t="s">
        <v>48</v>
      </c>
      <c r="C3" s="36">
        <v>0.85071099999999999</v>
      </c>
      <c r="D3" s="36">
        <v>0.84849200000000002</v>
      </c>
    </row>
    <row r="4" spans="1:7" ht="16.5" x14ac:dyDescent="0.25">
      <c r="A4" s="35">
        <v>1</v>
      </c>
      <c r="B4" s="36" t="s">
        <v>43</v>
      </c>
      <c r="C4" s="36">
        <v>0.92417099999999996</v>
      </c>
      <c r="D4" s="36">
        <v>0.92442299999999999</v>
      </c>
    </row>
    <row r="5" spans="1:7" ht="16.5" x14ac:dyDescent="0.25">
      <c r="A5" s="35">
        <v>2</v>
      </c>
      <c r="B5" s="36" t="s">
        <v>45</v>
      </c>
      <c r="C5" s="36">
        <v>0.90995300000000001</v>
      </c>
      <c r="D5" s="36">
        <v>0.909223</v>
      </c>
    </row>
    <row r="6" spans="1:7" ht="16.5" x14ac:dyDescent="0.25">
      <c r="A6" s="35">
        <v>3</v>
      </c>
      <c r="B6" s="36" t="s">
        <v>42</v>
      </c>
      <c r="C6" s="36">
        <v>0.92891000000000001</v>
      </c>
      <c r="D6" s="36">
        <v>0.92820199999999997</v>
      </c>
    </row>
    <row r="7" spans="1:7" ht="16.5" x14ac:dyDescent="0.25">
      <c r="A7" s="35">
        <v>4</v>
      </c>
      <c r="B7" s="36" t="s">
        <v>49</v>
      </c>
      <c r="C7" s="36">
        <v>0.32227499999999998</v>
      </c>
      <c r="D7" s="36">
        <v>0.19963400000000001</v>
      </c>
    </row>
    <row r="8" spans="1:7" ht="16.5" x14ac:dyDescent="0.25">
      <c r="A8" s="35">
        <v>5</v>
      </c>
      <c r="B8" s="36" t="s">
        <v>44</v>
      </c>
      <c r="C8" s="36">
        <v>0.919431</v>
      </c>
      <c r="D8" s="36">
        <v>0.91874400000000001</v>
      </c>
    </row>
    <row r="9" spans="1:7" ht="16.5" x14ac:dyDescent="0.25">
      <c r="A9" s="35">
        <v>6</v>
      </c>
      <c r="B9" s="36" t="s">
        <v>47</v>
      </c>
      <c r="C9" s="36">
        <v>0.85545000000000004</v>
      </c>
      <c r="D9" s="36">
        <v>0.855518</v>
      </c>
    </row>
    <row r="10" spans="1:7" ht="16.5" x14ac:dyDescent="0.25">
      <c r="A10" s="35">
        <v>7</v>
      </c>
      <c r="B10" s="36" t="s">
        <v>46</v>
      </c>
      <c r="C10" s="36">
        <v>0.90995300000000001</v>
      </c>
      <c r="D10" s="36">
        <v>0.91030500000000003</v>
      </c>
    </row>
    <row r="16" spans="1:7" ht="30" x14ac:dyDescent="0.25">
      <c r="B16" t="s">
        <v>52</v>
      </c>
      <c r="C16" t="s">
        <v>53</v>
      </c>
      <c r="E16" t="s">
        <v>57</v>
      </c>
      <c r="F16" t="s">
        <v>61</v>
      </c>
      <c r="G16" s="25" t="s">
        <v>62</v>
      </c>
    </row>
    <row r="17" spans="2:7" x14ac:dyDescent="0.25">
      <c r="B17">
        <v>0.97</v>
      </c>
      <c r="C17">
        <v>0.96</v>
      </c>
      <c r="E17" t="s">
        <v>58</v>
      </c>
      <c r="F17" t="s">
        <v>54</v>
      </c>
      <c r="G17" s="37">
        <v>0.97</v>
      </c>
    </row>
    <row r="18" spans="2:7" x14ac:dyDescent="0.25">
      <c r="B18">
        <v>0.96</v>
      </c>
      <c r="C18">
        <v>0.96</v>
      </c>
      <c r="E18" t="s">
        <v>59</v>
      </c>
      <c r="F18" t="s">
        <v>55</v>
      </c>
      <c r="G18" s="37">
        <v>0.96</v>
      </c>
    </row>
    <row r="19" spans="2:7" x14ac:dyDescent="0.25">
      <c r="B19">
        <v>0.95</v>
      </c>
      <c r="C19">
        <v>0.96</v>
      </c>
      <c r="E19" t="s">
        <v>60</v>
      </c>
      <c r="F19" t="s">
        <v>56</v>
      </c>
      <c r="G19" s="37">
        <v>0.95</v>
      </c>
    </row>
  </sheetData>
  <sortState xmlns:xlrd2="http://schemas.microsoft.com/office/spreadsheetml/2017/richdata2" ref="A3:D10">
    <sortCondition ref="A9:A10"/>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Sheet3</vt:lpstr>
      <vt:lpstr>Sheet2</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Israel Romero Olvera</dc:creator>
  <cp:lastModifiedBy>Israel Romero Olvera</cp:lastModifiedBy>
  <dcterms:created xsi:type="dcterms:W3CDTF">2024-10-08T05:40:09Z</dcterms:created>
  <dcterms:modified xsi:type="dcterms:W3CDTF">2025-11-27T22:30:02Z</dcterms:modified>
</cp:coreProperties>
</file>